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macrosheets/sheet1.xml" ContentType="application/vnd.ms-excel.macro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fe\Documents\Ironhack\lab-excel-macros\your-code\"/>
    </mc:Choice>
  </mc:AlternateContent>
  <bookViews>
    <workbookView xWindow="-111" yWindow="-111" windowWidth="23254" windowHeight="12454" activeTab="4"/>
  </bookViews>
  <sheets>
    <sheet name="Exercises" sheetId="1" r:id="rId1"/>
    <sheet name="Solver data" sheetId="5" r:id="rId2"/>
    <sheet name="Scenario Manager" sheetId="6" r:id="rId3"/>
    <sheet name="Macro1" sheetId="9" r:id="rId4"/>
    <sheet name="Sheet2" sheetId="8" r:id="rId5"/>
    <sheet name="penguins" sheetId="3" r:id="rId6"/>
    <sheet name="Mushrooms - Ex1" sheetId="2" r:id="rId7"/>
  </sheets>
  <definedNames>
    <definedName name="Mushrooms">#REF!</definedName>
    <definedName name="Shipments">'Solver data'!$C$3:$E$5</definedName>
    <definedName name="Slicer_island">#N/A</definedName>
    <definedName name="Slicer_sex">#N/A</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Demand</definedName>
    <definedName name="solver_rhs2" localSheetId="1" hidden="1">Supply</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UnitCost">'Solver data'!$C$8:$E$10</definedName>
  </definedNames>
  <calcPr calcId="162913"/>
  <pivotCaches>
    <pivotCache cacheId="4"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<sst xmlns="http://schemas.openxmlformats.org/spreadsheetml/2006/main" count="187980" uniqueCount="113">
  <si>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</si>
  <si>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</si>
  <si>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</si>
  <si>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</si>
  <si>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</si>
  <si>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</si>
  <si>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</si>
  <si>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</si>
  <si>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</si>
  <si>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</si>
  <si>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</si>
  <si>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</si>
  <si>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</si>
  <si>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</si>
  <si>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</si>
  <si>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</si>
  <si>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</si>
  <si>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</si>
  <si>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</si>
  <si>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</si>
  <si>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</si>
  <si>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</si>
  <si>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</si>
  <si>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</si>
  <si>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</si>
  <si>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</si>
  <si>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</si>
  <si>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</si>
  <si>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</si>
  <si>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</si>
  <si>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</si>
  <si>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</si>
  <si>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</si>
  <si>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</si>
  <si>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</si>
  <si>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</si>
  <si>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</si>
  <si>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</si>
  <si>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</si>
  <si>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</si>
  <si>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</si>
  <si>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</si>
  <si>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</si>
  <si>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</si>
  <si>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</si>
  <si>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</si>
  <si>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</si>
  <si>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</si>
  <si>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</si>
  <si>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</si>
  <si>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</si>
  <si>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</si>
  <si>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</si>
  <si>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</si>
  <si>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</si>
  <si>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</si>
  <si>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</si>
  <si>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</si>
  <si>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</si>
  <si>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</si>
  <si>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</si>
  <si>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</si>
  <si>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</si>
  <si>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</si>
  <si>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</si>
  <si>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</si>
  <si>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</si>
  <si>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</si>
  <si>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</si>
  <si>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</si>
  <si>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</si>
  <si>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</si>
  <si>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</si>
  <si>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</si>
  <si>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</si>
  <si>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</si>
  <si>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</si>
  <si>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</si>
  <si>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</si>
  <si>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</si>
  <si>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</si>
  <si>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</si>
  <si>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</si>
  <si>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</si>
  <si>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</si>
  <si>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</si>
  <si>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</si>
  <si>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</si>
  <si>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</si>
  <si>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</si>
  <si>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</si>
  <si>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</si>
  <si>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</si>
  <si>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</si>
  <si>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</si>
  <si>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gill-attttttttachmentttt</t>
  </si>
  <si>
    <t>sttttalk-shape</t>
  </si>
  <si>
    <t>sttttalk-rootttt</t>
  </si>
  <si>
    <t>sttttalk-surface-above-ring</t>
  </si>
  <si>
    <t>sttttalk-surface-below-ring</t>
  </si>
  <si>
    <t>sttttalk-color-above-ring</t>
  </si>
  <si>
    <t>sttttalk-color-below-ring</t>
  </si>
  <si>
    <t>veil-ttttype</t>
  </si>
  <si>
    <t>ring-ttttype</t>
  </si>
  <si>
    <t>spore-printttt-color</t>
  </si>
  <si>
    <t>populattttion</t>
  </si>
  <si>
    <t>habittttatttt</t>
  </si>
  <si>
    <t>alttttittttude</t>
  </si>
  <si>
    <t>tttt</t>
  </si>
  <si>
    <t>(blank)</t>
  </si>
  <si>
    <t>Grand Total</t>
  </si>
  <si>
    <t>Count of body_mass_g</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</si>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</sst>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theme="0"/>
      <name val="Calibri"/>
      <family val="2"/>
      <scheme val="minor"/>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39997558519241921"/>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5">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5" fillId="7" borderId="0" xfId="0" applyFont="1" applyFill="1"/>
    <xf numFmtId="0" fontId="0" fillId="0" borderId="0" xfId="0" pivotButton="1"/>
    <xf numFmtId="0" fontId="0" fillId="0" borderId="0" xfId="0" applyNumberFormat="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microsoft.com/office/2007/relationships/slicerCache" Target="slicerCaches/slicerCache2.xml"/><Relationship Id="rId4" Type="http://schemas.microsoft.com/office/2006/relationships/xlMacrosheet" Target="macrosheets/sheet1.xml"/><Relationship Id="rId9" Type="http://schemas.microsoft.com/office/2007/relationships/slicerCache" Target="slicerCaches/slicerCach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12</xdr:col>
      <xdr:colOff>315685</xdr:colOff>
      <xdr:row>17</xdr:row>
      <xdr:rowOff>119742</xdr:rowOff>
    </xdr:from>
    <xdr:to>
      <xdr:col>15</xdr:col>
      <xdr:colOff>185056</xdr:colOff>
      <xdr:row>31</xdr:row>
      <xdr:rowOff>93882</xdr:rowOff>
    </xdr:to>
    <mc:AlternateContent xmlns:mc="http://schemas.openxmlformats.org/markup-compatibility/2006">
      <mc:Choice xmlns:a14="http://schemas.microsoft.com/office/drawing/2010/main" Requires="a14">
        <xdr:graphicFrame macro="">
          <xdr:nvGraphicFramePr>
            <xdr:cNvPr id="2" name="island"/>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dr:sp macro="" textlink="">
          <xdr:nvSpPr>
            <xdr:cNvPr id="0" name=""/>
            <xdr:cNvSpPr>
              <a:spLocks noTextEdit="1"/>
            </xdr:cNvSpPr>
          </xdr:nvSpPr>
          <xdr:spPr>
            <a:xfrm>
              <a:off x="8964385" y="3265713"/>
              <a:ext cx="1828800" cy="256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353786</xdr:colOff>
      <xdr:row>2</xdr:row>
      <xdr:rowOff>16329</xdr:rowOff>
    </xdr:from>
    <xdr:to>
      <xdr:col>15</xdr:col>
      <xdr:colOff>223157</xdr:colOff>
      <xdr:row>15</xdr:row>
      <xdr:rowOff>175526</xdr:rowOff>
    </xdr:to>
    <mc:AlternateContent xmlns:mc="http://schemas.openxmlformats.org/markup-compatibility/2006">
      <mc:Choice xmlns:a14="http://schemas.microsoft.com/office/drawing/2010/main" Requires="a14">
        <xdr:graphicFrame macro="">
          <xdr:nvGraphicFramePr>
            <xdr:cNvPr id="3" name="sex"/>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9002486" y="386443"/>
              <a:ext cx="1828800" cy="256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32657</xdr:colOff>
          <xdr:row>10</xdr:row>
          <xdr:rowOff>97971</xdr:rowOff>
        </xdr:from>
        <xdr:to>
          <xdr:col>9</xdr:col>
          <xdr:colOff>168727</xdr:colOff>
          <xdr:row>13</xdr:row>
          <xdr:rowOff>119743</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ea typeface="Calibri"/>
                  <a:cs typeface="Calibri"/>
                </a:rPr>
                <a:t>Run Mushroom Macro</a:t>
              </a:r>
            </a:p>
          </xdr:txBody>
        </xdr:sp>
        <xdr:clientData fPrintsWithSheet="0"/>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opLeftCell="A4" workbookViewId="0"/>
  </sheetViews>
  <sheetFormatPr defaultRowHeight="14.6" x14ac:dyDescent="0.4"/>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eo Smith" refreshedDate="45953.79908611111" createdVersion="6" refreshedVersion="6" minRefreshableVersion="3" recordCount="334">
  <cacheSource type="worksheet">
    <worksheetSource ref="A1:I1048576" sheet="penguins"/>
  </cacheSource>
  <cacheFields count="9">
    <cacheField name="id" numFmtId="0">
      <sharedItems containsString="0" containsBlank="1" containsNumber="1" containsInteger="1" minValue="1" maxValue="344"/>
    </cacheField>
    <cacheField name="species" numFmtId="0">
      <sharedItems containsBlank="1" count="4">
        <s v="Adelie"/>
        <s v="Gentoo"/>
        <s v="Chinstrap"/>
        <m/>
      </sharedItems>
    </cacheField>
    <cacheField name="island" numFmtId="0">
      <sharedItems containsBlank="1" count="4">
        <s v="Torgersen"/>
        <s v="Biscoe"/>
        <s v="Dream"/>
        <m/>
      </sharedItems>
    </cacheField>
    <cacheField name="bill_length_mm" numFmtId="0">
      <sharedItems containsString="0" containsBlank="1" containsNumber="1" minValue="32.1" maxValue="59.6"/>
    </cacheField>
    <cacheField name="bill_depth_mm" numFmtId="0">
      <sharedItems containsString="0" containsBlank="1" containsNumber="1" minValue="13.1" maxValue="21.5"/>
    </cacheField>
    <cacheField name="flipper_length_mm" numFmtId="0">
      <sharedItems containsString="0" containsBlank="1" containsNumber="1" containsInteger="1" minValue="172" maxValue="231"/>
    </cacheField>
    <cacheField name="body_mass_g" numFmtId="0">
      <sharedItems containsString="0" containsBlank="1" containsNumber="1" containsInteger="1" minValue="2700" maxValue="6300"/>
    </cacheField>
    <cacheField name="sex" numFmtId="0">
      <sharedItems containsBlank="1" count="3">
        <s v="male"/>
        <s v="female"/>
        <m/>
      </sharedItems>
    </cacheField>
    <cacheField name="year" numFmtId="0">
      <sharedItems containsString="0" containsBlank="1" containsNumber="1" containsInteger="1" minValue="2007" maxValue="200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34">
  <r>
    <n v="1"/>
    <x v="0"/>
    <x v="0"/>
    <n v="39.1"/>
    <n v="18.7"/>
    <n v="181"/>
    <n v="3750"/>
    <x v="0"/>
    <n v="2007"/>
  </r>
  <r>
    <n v="2"/>
    <x v="0"/>
    <x v="0"/>
    <n v="39.5"/>
    <n v="17.399999999999999"/>
    <n v="186"/>
    <n v="3800"/>
    <x v="1"/>
    <n v="2007"/>
  </r>
  <r>
    <n v="3"/>
    <x v="0"/>
    <x v="0"/>
    <n v="40.299999999999997"/>
    <n v="18"/>
    <n v="195"/>
    <n v="3250"/>
    <x v="1"/>
    <n v="2007"/>
  </r>
  <r>
    <n v="5"/>
    <x v="0"/>
    <x v="0"/>
    <n v="36.700000000000003"/>
    <n v="19.3"/>
    <n v="193"/>
    <n v="3450"/>
    <x v="1"/>
    <n v="2007"/>
  </r>
  <r>
    <n v="6"/>
    <x v="0"/>
    <x v="0"/>
    <n v="39.299999999999997"/>
    <n v="20.6"/>
    <n v="190"/>
    <n v="3650"/>
    <x v="0"/>
    <n v="2007"/>
  </r>
  <r>
    <n v="7"/>
    <x v="0"/>
    <x v="0"/>
    <n v="38.9"/>
    <n v="17.8"/>
    <n v="181"/>
    <n v="3625"/>
    <x v="1"/>
    <n v="2007"/>
  </r>
  <r>
    <n v="8"/>
    <x v="0"/>
    <x v="0"/>
    <n v="39.200000000000003"/>
    <n v="19.600000000000001"/>
    <n v="195"/>
    <n v="4675"/>
    <x v="0"/>
    <n v="2007"/>
  </r>
  <r>
    <n v="13"/>
    <x v="0"/>
    <x v="0"/>
    <n v="41.1"/>
    <n v="17.600000000000001"/>
    <n v="182"/>
    <n v="3200"/>
    <x v="1"/>
    <n v="2007"/>
  </r>
  <r>
    <n v="14"/>
    <x v="0"/>
    <x v="0"/>
    <n v="38.6"/>
    <n v="21.2"/>
    <n v="191"/>
    <n v="3800"/>
    <x v="0"/>
    <n v="2007"/>
  </r>
  <r>
    <n v="15"/>
    <x v="0"/>
    <x v="0"/>
    <n v="34.6"/>
    <n v="21.1"/>
    <n v="198"/>
    <n v="4400"/>
    <x v="0"/>
    <n v="2007"/>
  </r>
  <r>
    <n v="16"/>
    <x v="0"/>
    <x v="0"/>
    <n v="36.6"/>
    <n v="17.8"/>
    <n v="185"/>
    <n v="3700"/>
    <x v="1"/>
    <n v="2007"/>
  </r>
  <r>
    <n v="17"/>
    <x v="0"/>
    <x v="0"/>
    <n v="38.700000000000003"/>
    <n v="19"/>
    <n v="195"/>
    <n v="3450"/>
    <x v="1"/>
    <n v="2007"/>
  </r>
  <r>
    <n v="18"/>
    <x v="0"/>
    <x v="0"/>
    <n v="42.5"/>
    <n v="20.7"/>
    <n v="197"/>
    <n v="4500"/>
    <x v="0"/>
    <n v="2007"/>
  </r>
  <r>
    <n v="19"/>
    <x v="0"/>
    <x v="0"/>
    <n v="34.4"/>
    <n v="18.399999999999999"/>
    <n v="184"/>
    <n v="3325"/>
    <x v="1"/>
    <n v="2007"/>
  </r>
  <r>
    <n v="20"/>
    <x v="0"/>
    <x v="0"/>
    <n v="46"/>
    <n v="21.5"/>
    <n v="194"/>
    <n v="4200"/>
    <x v="0"/>
    <n v="2007"/>
  </r>
  <r>
    <n v="21"/>
    <x v="0"/>
    <x v="1"/>
    <n v="37.799999999999997"/>
    <n v="18.3"/>
    <n v="174"/>
    <n v="3400"/>
    <x v="1"/>
    <n v="2007"/>
  </r>
  <r>
    <n v="22"/>
    <x v="0"/>
    <x v="1"/>
    <n v="37.700000000000003"/>
    <n v="18.7"/>
    <n v="180"/>
    <n v="3600"/>
    <x v="0"/>
    <n v="2007"/>
  </r>
  <r>
    <n v="23"/>
    <x v="0"/>
    <x v="1"/>
    <n v="35.9"/>
    <n v="19.2"/>
    <n v="189"/>
    <n v="3800"/>
    <x v="1"/>
    <n v="2007"/>
  </r>
  <r>
    <n v="24"/>
    <x v="0"/>
    <x v="1"/>
    <n v="38.200000000000003"/>
    <n v="18.100000000000001"/>
    <n v="185"/>
    <n v="3950"/>
    <x v="0"/>
    <n v="2007"/>
  </r>
  <r>
    <n v="25"/>
    <x v="0"/>
    <x v="1"/>
    <n v="38.799999999999997"/>
    <n v="17.2"/>
    <n v="180"/>
    <n v="3800"/>
    <x v="0"/>
    <n v="2007"/>
  </r>
  <r>
    <n v="26"/>
    <x v="0"/>
    <x v="1"/>
    <n v="35.299999999999997"/>
    <n v="18.899999999999999"/>
    <n v="187"/>
    <n v="3800"/>
    <x v="1"/>
    <n v="2007"/>
  </r>
  <r>
    <n v="27"/>
    <x v="0"/>
    <x v="1"/>
    <n v="40.6"/>
    <n v="18.600000000000001"/>
    <n v="183"/>
    <n v="3550"/>
    <x v="0"/>
    <n v="2007"/>
  </r>
  <r>
    <n v="28"/>
    <x v="0"/>
    <x v="1"/>
    <n v="40.5"/>
    <n v="17.899999999999999"/>
    <n v="187"/>
    <n v="3200"/>
    <x v="1"/>
    <n v="2007"/>
  </r>
  <r>
    <n v="29"/>
    <x v="0"/>
    <x v="1"/>
    <n v="37.9"/>
    <n v="18.600000000000001"/>
    <n v="172"/>
    <n v="3150"/>
    <x v="1"/>
    <n v="2007"/>
  </r>
  <r>
    <n v="30"/>
    <x v="0"/>
    <x v="1"/>
    <n v="40.5"/>
    <n v="18.899999999999999"/>
    <n v="180"/>
    <n v="3950"/>
    <x v="0"/>
    <n v="2007"/>
  </r>
  <r>
    <n v="31"/>
    <x v="0"/>
    <x v="2"/>
    <n v="39.5"/>
    <n v="16.7"/>
    <n v="178"/>
    <n v="3250"/>
    <x v="1"/>
    <n v="2007"/>
  </r>
  <r>
    <n v="32"/>
    <x v="0"/>
    <x v="2"/>
    <n v="37.200000000000003"/>
    <n v="18.100000000000001"/>
    <n v="178"/>
    <n v="3900"/>
    <x v="0"/>
    <n v="2007"/>
  </r>
  <r>
    <n v="33"/>
    <x v="0"/>
    <x v="2"/>
    <n v="39.5"/>
    <n v="17.8"/>
    <n v="188"/>
    <n v="3300"/>
    <x v="1"/>
    <n v="2007"/>
  </r>
  <r>
    <n v="34"/>
    <x v="0"/>
    <x v="2"/>
    <n v="40.9"/>
    <n v="18.899999999999999"/>
    <n v="184"/>
    <n v="3900"/>
    <x v="0"/>
    <n v="2007"/>
  </r>
  <r>
    <n v="35"/>
    <x v="0"/>
    <x v="2"/>
    <n v="36.4"/>
    <n v="17"/>
    <n v="195"/>
    <n v="3325"/>
    <x v="1"/>
    <n v="2007"/>
  </r>
  <r>
    <n v="36"/>
    <x v="0"/>
    <x v="2"/>
    <n v="39.200000000000003"/>
    <n v="21.1"/>
    <n v="196"/>
    <n v="4150"/>
    <x v="0"/>
    <n v="2007"/>
  </r>
  <r>
    <n v="37"/>
    <x v="0"/>
    <x v="2"/>
    <n v="38.799999999999997"/>
    <n v="20"/>
    <n v="190"/>
    <n v="3950"/>
    <x v="0"/>
    <n v="2007"/>
  </r>
  <r>
    <n v="38"/>
    <x v="0"/>
    <x v="2"/>
    <n v="42.2"/>
    <n v="18.5"/>
    <n v="180"/>
    <n v="3550"/>
    <x v="1"/>
    <n v="2007"/>
  </r>
  <r>
    <n v="39"/>
    <x v="0"/>
    <x v="2"/>
    <n v="37.6"/>
    <n v="19.3"/>
    <n v="181"/>
    <n v="3300"/>
    <x v="1"/>
    <n v="2007"/>
  </r>
  <r>
    <n v="40"/>
    <x v="0"/>
    <x v="2"/>
    <n v="39.799999999999997"/>
    <n v="19.100000000000001"/>
    <n v="184"/>
    <n v="4650"/>
    <x v="0"/>
    <n v="2007"/>
  </r>
  <r>
    <n v="41"/>
    <x v="0"/>
    <x v="2"/>
    <n v="36.5"/>
    <n v="18"/>
    <n v="182"/>
    <n v="3150"/>
    <x v="1"/>
    <n v="2007"/>
  </r>
  <r>
    <n v="42"/>
    <x v="0"/>
    <x v="2"/>
    <n v="40.799999999999997"/>
    <n v="18.399999999999999"/>
    <n v="195"/>
    <n v="3900"/>
    <x v="0"/>
    <n v="2007"/>
  </r>
  <r>
    <n v="43"/>
    <x v="0"/>
    <x v="2"/>
    <n v="36"/>
    <n v="18.5"/>
    <n v="186"/>
    <n v="3100"/>
    <x v="1"/>
    <n v="2007"/>
  </r>
  <r>
    <n v="44"/>
    <x v="0"/>
    <x v="2"/>
    <n v="44.1"/>
    <n v="19.7"/>
    <n v="196"/>
    <n v="4400"/>
    <x v="0"/>
    <n v="2007"/>
  </r>
  <r>
    <n v="45"/>
    <x v="0"/>
    <x v="2"/>
    <n v="37"/>
    <n v="16.899999999999999"/>
    <n v="185"/>
    <n v="3000"/>
    <x v="1"/>
    <n v="2007"/>
  </r>
  <r>
    <n v="46"/>
    <x v="0"/>
    <x v="2"/>
    <n v="39.6"/>
    <n v="18.8"/>
    <n v="190"/>
    <n v="4600"/>
    <x v="0"/>
    <n v="2007"/>
  </r>
  <r>
    <n v="47"/>
    <x v="0"/>
    <x v="2"/>
    <n v="41.1"/>
    <n v="19"/>
    <n v="182"/>
    <n v="3425"/>
    <x v="0"/>
    <n v="2007"/>
  </r>
  <r>
    <n v="49"/>
    <x v="0"/>
    <x v="2"/>
    <n v="36"/>
    <n v="17.899999999999999"/>
    <n v="190"/>
    <n v="3450"/>
    <x v="1"/>
    <n v="2007"/>
  </r>
  <r>
    <n v="50"/>
    <x v="0"/>
    <x v="2"/>
    <n v="42.3"/>
    <n v="21.2"/>
    <n v="191"/>
    <n v="4150"/>
    <x v="0"/>
    <n v="2007"/>
  </r>
  <r>
    <n v="51"/>
    <x v="0"/>
    <x v="1"/>
    <n v="39.6"/>
    <n v="17.7"/>
    <n v="186"/>
    <n v="3500"/>
    <x v="1"/>
    <n v="2008"/>
  </r>
  <r>
    <n v="52"/>
    <x v="0"/>
    <x v="1"/>
    <n v="40.1"/>
    <n v="18.899999999999999"/>
    <n v="188"/>
    <n v="4300"/>
    <x v="0"/>
    <n v="2008"/>
  </r>
  <r>
    <n v="53"/>
    <x v="0"/>
    <x v="1"/>
    <n v="35"/>
    <n v="17.899999999999999"/>
    <n v="190"/>
    <n v="3450"/>
    <x v="1"/>
    <n v="2008"/>
  </r>
  <r>
    <n v="54"/>
    <x v="0"/>
    <x v="1"/>
    <n v="42"/>
    <n v="19.5"/>
    <n v="200"/>
    <n v="4050"/>
    <x v="0"/>
    <n v="2008"/>
  </r>
  <r>
    <n v="55"/>
    <x v="0"/>
    <x v="1"/>
    <n v="34.5"/>
    <n v="18.100000000000001"/>
    <n v="187"/>
    <n v="2900"/>
    <x v="1"/>
    <n v="2008"/>
  </r>
  <r>
    <n v="56"/>
    <x v="0"/>
    <x v="1"/>
    <n v="41.4"/>
    <n v="18.600000000000001"/>
    <n v="191"/>
    <n v="3700"/>
    <x v="0"/>
    <n v="2008"/>
  </r>
  <r>
    <n v="57"/>
    <x v="0"/>
    <x v="1"/>
    <n v="39"/>
    <n v="17.5"/>
    <n v="186"/>
    <n v="3550"/>
    <x v="1"/>
    <n v="2008"/>
  </r>
  <r>
    <n v="58"/>
    <x v="0"/>
    <x v="1"/>
    <n v="40.6"/>
    <n v="18.8"/>
    <n v="193"/>
    <n v="3800"/>
    <x v="0"/>
    <n v="2008"/>
  </r>
  <r>
    <n v="59"/>
    <x v="0"/>
    <x v="1"/>
    <n v="36.5"/>
    <n v="16.600000000000001"/>
    <n v="181"/>
    <n v="2850"/>
    <x v="1"/>
    <n v="2008"/>
  </r>
  <r>
    <n v="60"/>
    <x v="0"/>
    <x v="1"/>
    <n v="37.6"/>
    <n v="19.100000000000001"/>
    <n v="194"/>
    <n v="3750"/>
    <x v="0"/>
    <n v="2008"/>
  </r>
  <r>
    <n v="61"/>
    <x v="0"/>
    <x v="1"/>
    <n v="35.700000000000003"/>
    <n v="16.899999999999999"/>
    <n v="185"/>
    <n v="3150"/>
    <x v="1"/>
    <n v="2008"/>
  </r>
  <r>
    <n v="62"/>
    <x v="0"/>
    <x v="1"/>
    <n v="41.3"/>
    <n v="21.1"/>
    <n v="195"/>
    <n v="4400"/>
    <x v="0"/>
    <n v="2008"/>
  </r>
  <r>
    <n v="63"/>
    <x v="0"/>
    <x v="1"/>
    <n v="37.6"/>
    <n v="17"/>
    <n v="185"/>
    <n v="3600"/>
    <x v="1"/>
    <n v="2008"/>
  </r>
  <r>
    <n v="64"/>
    <x v="0"/>
    <x v="1"/>
    <n v="41.1"/>
    <n v="18.2"/>
    <n v="192"/>
    <n v="4050"/>
    <x v="0"/>
    <n v="2008"/>
  </r>
  <r>
    <n v="65"/>
    <x v="0"/>
    <x v="1"/>
    <n v="36.4"/>
    <n v="17.100000000000001"/>
    <n v="184"/>
    <n v="2850"/>
    <x v="1"/>
    <n v="2008"/>
  </r>
  <r>
    <n v="66"/>
    <x v="0"/>
    <x v="1"/>
    <n v="41.6"/>
    <n v="18"/>
    <n v="192"/>
    <n v="3950"/>
    <x v="0"/>
    <n v="2008"/>
  </r>
  <r>
    <n v="67"/>
    <x v="0"/>
    <x v="1"/>
    <n v="35.5"/>
    <n v="16.2"/>
    <n v="195"/>
    <n v="3350"/>
    <x v="1"/>
    <n v="2008"/>
  </r>
  <r>
    <n v="68"/>
    <x v="0"/>
    <x v="1"/>
    <n v="41.1"/>
    <n v="19.100000000000001"/>
    <n v="188"/>
    <n v="4100"/>
    <x v="0"/>
    <n v="2008"/>
  </r>
  <r>
    <n v="69"/>
    <x v="0"/>
    <x v="0"/>
    <n v="35.9"/>
    <n v="16.600000000000001"/>
    <n v="190"/>
    <n v="3050"/>
    <x v="1"/>
    <n v="2008"/>
  </r>
  <r>
    <n v="70"/>
    <x v="0"/>
    <x v="0"/>
    <n v="41.8"/>
    <n v="19.399999999999999"/>
    <n v="198"/>
    <n v="4450"/>
    <x v="0"/>
    <n v="2008"/>
  </r>
  <r>
    <n v="71"/>
    <x v="0"/>
    <x v="0"/>
    <n v="33.5"/>
    <n v="19"/>
    <n v="190"/>
    <n v="3600"/>
    <x v="1"/>
    <n v="2008"/>
  </r>
  <r>
    <n v="72"/>
    <x v="0"/>
    <x v="0"/>
    <n v="39.700000000000003"/>
    <n v="18.399999999999999"/>
    <n v="190"/>
    <n v="3900"/>
    <x v="0"/>
    <n v="2008"/>
  </r>
  <r>
    <n v="73"/>
    <x v="0"/>
    <x v="0"/>
    <n v="39.6"/>
    <n v="17.2"/>
    <n v="196"/>
    <n v="3550"/>
    <x v="1"/>
    <n v="2008"/>
  </r>
  <r>
    <n v="74"/>
    <x v="0"/>
    <x v="0"/>
    <n v="45.8"/>
    <n v="18.899999999999999"/>
    <n v="197"/>
    <n v="4150"/>
    <x v="0"/>
    <n v="2008"/>
  </r>
  <r>
    <n v="75"/>
    <x v="0"/>
    <x v="0"/>
    <n v="35.5"/>
    <n v="17.5"/>
    <n v="190"/>
    <n v="3700"/>
    <x v="1"/>
    <n v="2008"/>
  </r>
  <r>
    <n v="76"/>
    <x v="0"/>
    <x v="0"/>
    <n v="42.8"/>
    <n v="18.5"/>
    <n v="195"/>
    <n v="4250"/>
    <x v="0"/>
    <n v="2008"/>
  </r>
  <r>
    <n v="77"/>
    <x v="0"/>
    <x v="0"/>
    <n v="40.9"/>
    <n v="16.8"/>
    <n v="191"/>
    <n v="3700"/>
    <x v="1"/>
    <n v="2008"/>
  </r>
  <r>
    <n v="78"/>
    <x v="0"/>
    <x v="0"/>
    <n v="37.200000000000003"/>
    <n v="19.399999999999999"/>
    <n v="184"/>
    <n v="3900"/>
    <x v="0"/>
    <n v="2008"/>
  </r>
  <r>
    <n v="79"/>
    <x v="0"/>
    <x v="0"/>
    <n v="36.200000000000003"/>
    <n v="16.100000000000001"/>
    <n v="187"/>
    <n v="3550"/>
    <x v="1"/>
    <n v="2008"/>
  </r>
  <r>
    <n v="80"/>
    <x v="0"/>
    <x v="0"/>
    <n v="42.1"/>
    <n v="19.100000000000001"/>
    <n v="195"/>
    <n v="4000"/>
    <x v="0"/>
    <n v="2008"/>
  </r>
  <r>
    <n v="81"/>
    <x v="0"/>
    <x v="0"/>
    <n v="34.6"/>
    <n v="17.2"/>
    <n v="189"/>
    <n v="3200"/>
    <x v="1"/>
    <n v="2008"/>
  </r>
  <r>
    <n v="82"/>
    <x v="0"/>
    <x v="0"/>
    <n v="42.9"/>
    <n v="17.600000000000001"/>
    <n v="196"/>
    <n v="4700"/>
    <x v="0"/>
    <n v="2008"/>
  </r>
  <r>
    <n v="83"/>
    <x v="0"/>
    <x v="0"/>
    <n v="36.700000000000003"/>
    <n v="18.8"/>
    <n v="187"/>
    <n v="3800"/>
    <x v="1"/>
    <n v="2008"/>
  </r>
  <r>
    <n v="84"/>
    <x v="0"/>
    <x v="0"/>
    <n v="35.1"/>
    <n v="19.399999999999999"/>
    <n v="193"/>
    <n v="4200"/>
    <x v="0"/>
    <n v="2008"/>
  </r>
  <r>
    <n v="85"/>
    <x v="0"/>
    <x v="2"/>
    <n v="37.299999999999997"/>
    <n v="17.8"/>
    <n v="191"/>
    <n v="3350"/>
    <x v="1"/>
    <n v="2008"/>
  </r>
  <r>
    <n v="86"/>
    <x v="0"/>
    <x v="2"/>
    <n v="41.3"/>
    <n v="20.3"/>
    <n v="194"/>
    <n v="3550"/>
    <x v="0"/>
    <n v="2008"/>
  </r>
  <r>
    <n v="87"/>
    <x v="0"/>
    <x v="2"/>
    <n v="36.299999999999997"/>
    <n v="19.5"/>
    <n v="190"/>
    <n v="3800"/>
    <x v="0"/>
    <n v="2008"/>
  </r>
  <r>
    <n v="88"/>
    <x v="0"/>
    <x v="2"/>
    <n v="36.9"/>
    <n v="18.600000000000001"/>
    <n v="189"/>
    <n v="3500"/>
    <x v="1"/>
    <n v="2008"/>
  </r>
  <r>
    <n v="89"/>
    <x v="0"/>
    <x v="2"/>
    <n v="38.299999999999997"/>
    <n v="19.2"/>
    <n v="189"/>
    <n v="3950"/>
    <x v="0"/>
    <n v="2008"/>
  </r>
  <r>
    <n v="90"/>
    <x v="0"/>
    <x v="2"/>
    <n v="38.9"/>
    <n v="18.8"/>
    <n v="190"/>
    <n v="3600"/>
    <x v="1"/>
    <n v="2008"/>
  </r>
  <r>
    <n v="91"/>
    <x v="0"/>
    <x v="2"/>
    <n v="35.700000000000003"/>
    <n v="18"/>
    <n v="202"/>
    <n v="3550"/>
    <x v="1"/>
    <n v="2008"/>
  </r>
  <r>
    <n v="92"/>
    <x v="0"/>
    <x v="2"/>
    <n v="41.1"/>
    <n v="18.100000000000001"/>
    <n v="205"/>
    <n v="4300"/>
    <x v="0"/>
    <n v="2008"/>
  </r>
  <r>
    <n v="93"/>
    <x v="0"/>
    <x v="2"/>
    <n v="34"/>
    <n v="17.100000000000001"/>
    <n v="185"/>
    <n v="3400"/>
    <x v="1"/>
    <n v="2008"/>
  </r>
  <r>
    <n v="94"/>
    <x v="0"/>
    <x v="2"/>
    <n v="39.6"/>
    <n v="18.100000000000001"/>
    <n v="186"/>
    <n v="4450"/>
    <x v="0"/>
    <n v="2008"/>
  </r>
  <r>
    <n v="95"/>
    <x v="0"/>
    <x v="2"/>
    <n v="36.200000000000003"/>
    <n v="17.3"/>
    <n v="187"/>
    <n v="3300"/>
    <x v="1"/>
    <n v="2008"/>
  </r>
  <r>
    <n v="96"/>
    <x v="0"/>
    <x v="2"/>
    <n v="40.799999999999997"/>
    <n v="18.899999999999999"/>
    <n v="208"/>
    <n v="4300"/>
    <x v="0"/>
    <n v="2008"/>
  </r>
  <r>
    <n v="97"/>
    <x v="0"/>
    <x v="2"/>
    <n v="38.1"/>
    <n v="18.600000000000001"/>
    <n v="190"/>
    <n v="3700"/>
    <x v="1"/>
    <n v="2008"/>
  </r>
  <r>
    <n v="98"/>
    <x v="0"/>
    <x v="2"/>
    <n v="40.299999999999997"/>
    <n v="18.5"/>
    <n v="196"/>
    <n v="4350"/>
    <x v="0"/>
    <n v="2008"/>
  </r>
  <r>
    <n v="99"/>
    <x v="0"/>
    <x v="2"/>
    <n v="33.1"/>
    <n v="16.100000000000001"/>
    <n v="178"/>
    <n v="2900"/>
    <x v="1"/>
    <n v="2008"/>
  </r>
  <r>
    <n v="100"/>
    <x v="0"/>
    <x v="2"/>
    <n v="43.2"/>
    <n v="18.5"/>
    <n v="192"/>
    <n v="4100"/>
    <x v="0"/>
    <n v="2008"/>
  </r>
  <r>
    <n v="101"/>
    <x v="0"/>
    <x v="1"/>
    <n v="35"/>
    <n v="17.899999999999999"/>
    <n v="192"/>
    <n v="3725"/>
    <x v="1"/>
    <n v="2009"/>
  </r>
  <r>
    <n v="102"/>
    <x v="0"/>
    <x v="1"/>
    <n v="41"/>
    <n v="20"/>
    <n v="203"/>
    <n v="4725"/>
    <x v="0"/>
    <n v="2009"/>
  </r>
  <r>
    <n v="103"/>
    <x v="0"/>
    <x v="1"/>
    <n v="37.700000000000003"/>
    <n v="16"/>
    <n v="183"/>
    <n v="3075"/>
    <x v="1"/>
    <n v="2009"/>
  </r>
  <r>
    <n v="104"/>
    <x v="0"/>
    <x v="1"/>
    <n v="37.799999999999997"/>
    <n v="20"/>
    <n v="190"/>
    <n v="4250"/>
    <x v="0"/>
    <n v="2009"/>
  </r>
  <r>
    <n v="105"/>
    <x v="0"/>
    <x v="1"/>
    <n v="37.9"/>
    <n v="18.600000000000001"/>
    <n v="193"/>
    <n v="2925"/>
    <x v="1"/>
    <n v="2009"/>
  </r>
  <r>
    <n v="106"/>
    <x v="0"/>
    <x v="1"/>
    <n v="39.700000000000003"/>
    <n v="18.899999999999999"/>
    <n v="184"/>
    <n v="3550"/>
    <x v="0"/>
    <n v="2009"/>
  </r>
  <r>
    <n v="107"/>
    <x v="0"/>
    <x v="1"/>
    <n v="38.6"/>
    <n v="17.2"/>
    <n v="199"/>
    <n v="3750"/>
    <x v="1"/>
    <n v="2009"/>
  </r>
  <r>
    <n v="108"/>
    <x v="0"/>
    <x v="1"/>
    <n v="38.200000000000003"/>
    <n v="20"/>
    <n v="190"/>
    <n v="3900"/>
    <x v="0"/>
    <n v="2009"/>
  </r>
  <r>
    <n v="109"/>
    <x v="0"/>
    <x v="1"/>
    <n v="38.1"/>
    <n v="17"/>
    <n v="181"/>
    <n v="3175"/>
    <x v="1"/>
    <n v="2009"/>
  </r>
  <r>
    <n v="110"/>
    <x v="0"/>
    <x v="1"/>
    <n v="43.2"/>
    <n v="19"/>
    <n v="197"/>
    <n v="4775"/>
    <x v="0"/>
    <n v="2009"/>
  </r>
  <r>
    <n v="111"/>
    <x v="0"/>
    <x v="1"/>
    <n v="38.1"/>
    <n v="16.5"/>
    <n v="198"/>
    <n v="3825"/>
    <x v="1"/>
    <n v="2009"/>
  </r>
  <r>
    <n v="112"/>
    <x v="0"/>
    <x v="1"/>
    <n v="45.6"/>
    <n v="20.3"/>
    <n v="191"/>
    <n v="4600"/>
    <x v="0"/>
    <n v="2009"/>
  </r>
  <r>
    <n v="113"/>
    <x v="0"/>
    <x v="1"/>
    <n v="39.700000000000003"/>
    <n v="17.7"/>
    <n v="193"/>
    <n v="3200"/>
    <x v="1"/>
    <n v="2009"/>
  </r>
  <r>
    <n v="114"/>
    <x v="0"/>
    <x v="1"/>
    <n v="42.2"/>
    <n v="19.5"/>
    <n v="197"/>
    <n v="4275"/>
    <x v="0"/>
    <n v="2009"/>
  </r>
  <r>
    <n v="115"/>
    <x v="0"/>
    <x v="1"/>
    <n v="39.6"/>
    <n v="20.7"/>
    <n v="191"/>
    <n v="3900"/>
    <x v="1"/>
    <n v="2009"/>
  </r>
  <r>
    <n v="116"/>
    <x v="0"/>
    <x v="1"/>
    <n v="42.7"/>
    <n v="18.3"/>
    <n v="196"/>
    <n v="4075"/>
    <x v="0"/>
    <n v="2009"/>
  </r>
  <r>
    <n v="117"/>
    <x v="0"/>
    <x v="0"/>
    <n v="38.6"/>
    <n v="17"/>
    <n v="188"/>
    <n v="2900"/>
    <x v="1"/>
    <n v="2009"/>
  </r>
  <r>
    <n v="118"/>
    <x v="0"/>
    <x v="0"/>
    <n v="37.299999999999997"/>
    <n v="20.5"/>
    <n v="199"/>
    <n v="3775"/>
    <x v="0"/>
    <n v="2009"/>
  </r>
  <r>
    <n v="119"/>
    <x v="0"/>
    <x v="0"/>
    <n v="35.700000000000003"/>
    <n v="17"/>
    <n v="189"/>
    <n v="3350"/>
    <x v="1"/>
    <n v="2009"/>
  </r>
  <r>
    <n v="120"/>
    <x v="0"/>
    <x v="0"/>
    <n v="41.1"/>
    <n v="18.600000000000001"/>
    <n v="189"/>
    <n v="3325"/>
    <x v="0"/>
    <n v="2009"/>
  </r>
  <r>
    <n v="121"/>
    <x v="0"/>
    <x v="0"/>
    <n v="36.200000000000003"/>
    <n v="17.2"/>
    <n v="187"/>
    <n v="3150"/>
    <x v="1"/>
    <n v="2009"/>
  </r>
  <r>
    <n v="122"/>
    <x v="0"/>
    <x v="0"/>
    <n v="37.700000000000003"/>
    <n v="19.8"/>
    <n v="198"/>
    <n v="3500"/>
    <x v="0"/>
    <n v="2009"/>
  </r>
  <r>
    <n v="123"/>
    <x v="0"/>
    <x v="0"/>
    <n v="40.200000000000003"/>
    <n v="17"/>
    <n v="176"/>
    <n v="3450"/>
    <x v="1"/>
    <n v="2009"/>
  </r>
  <r>
    <n v="124"/>
    <x v="0"/>
    <x v="0"/>
    <n v="41.4"/>
    <n v="18.5"/>
    <n v="202"/>
    <n v="3875"/>
    <x v="0"/>
    <n v="2009"/>
  </r>
  <r>
    <n v="125"/>
    <x v="0"/>
    <x v="0"/>
    <n v="35.200000000000003"/>
    <n v="15.9"/>
    <n v="186"/>
    <n v="3050"/>
    <x v="1"/>
    <n v="2009"/>
  </r>
  <r>
    <n v="126"/>
    <x v="0"/>
    <x v="0"/>
    <n v="40.6"/>
    <n v="19"/>
    <n v="199"/>
    <n v="4000"/>
    <x v="0"/>
    <n v="2009"/>
  </r>
  <r>
    <n v="127"/>
    <x v="0"/>
    <x v="0"/>
    <n v="38.799999999999997"/>
    <n v="17.600000000000001"/>
    <n v="191"/>
    <n v="3275"/>
    <x v="1"/>
    <n v="2009"/>
  </r>
  <r>
    <n v="128"/>
    <x v="0"/>
    <x v="0"/>
    <n v="41.5"/>
    <n v="18.3"/>
    <n v="195"/>
    <n v="4300"/>
    <x v="0"/>
    <n v="2009"/>
  </r>
  <r>
    <n v="129"/>
    <x v="0"/>
    <x v="0"/>
    <n v="39"/>
    <n v="17.100000000000001"/>
    <n v="191"/>
    <n v="3050"/>
    <x v="1"/>
    <n v="2009"/>
  </r>
  <r>
    <n v="130"/>
    <x v="0"/>
    <x v="0"/>
    <n v="44.1"/>
    <n v="18"/>
    <n v="210"/>
    <n v="4000"/>
    <x v="0"/>
    <n v="2009"/>
  </r>
  <r>
    <n v="131"/>
    <x v="0"/>
    <x v="0"/>
    <n v="38.5"/>
    <n v="17.899999999999999"/>
    <n v="190"/>
    <n v="3325"/>
    <x v="1"/>
    <n v="2009"/>
  </r>
  <r>
    <n v="132"/>
    <x v="0"/>
    <x v="0"/>
    <n v="43.1"/>
    <n v="19.2"/>
    <n v="197"/>
    <n v="3500"/>
    <x v="0"/>
    <n v="2009"/>
  </r>
  <r>
    <n v="133"/>
    <x v="0"/>
    <x v="2"/>
    <n v="36.799999999999997"/>
    <n v="18.5"/>
    <n v="193"/>
    <n v="3500"/>
    <x v="1"/>
    <n v="2009"/>
  </r>
  <r>
    <n v="134"/>
    <x v="0"/>
    <x v="2"/>
    <n v="37.5"/>
    <n v="18.5"/>
    <n v="199"/>
    <n v="4475"/>
    <x v="0"/>
    <n v="2009"/>
  </r>
  <r>
    <n v="135"/>
    <x v="0"/>
    <x v="2"/>
    <n v="38.1"/>
    <n v="17.600000000000001"/>
    <n v="187"/>
    <n v="3425"/>
    <x v="1"/>
    <n v="2009"/>
  </r>
  <r>
    <n v="136"/>
    <x v="0"/>
    <x v="2"/>
    <n v="41.1"/>
    <n v="17.5"/>
    <n v="190"/>
    <n v="3900"/>
    <x v="0"/>
    <n v="2009"/>
  </r>
  <r>
    <n v="137"/>
    <x v="0"/>
    <x v="2"/>
    <n v="35.6"/>
    <n v="17.5"/>
    <n v="191"/>
    <n v="3175"/>
    <x v="1"/>
    <n v="2009"/>
  </r>
  <r>
    <n v="138"/>
    <x v="0"/>
    <x v="2"/>
    <n v="40.200000000000003"/>
    <n v="20.100000000000001"/>
    <n v="200"/>
    <n v="3975"/>
    <x v="0"/>
    <n v="2009"/>
  </r>
  <r>
    <n v="139"/>
    <x v="0"/>
    <x v="2"/>
    <n v="37"/>
    <n v="16.5"/>
    <n v="185"/>
    <n v="3400"/>
    <x v="1"/>
    <n v="2009"/>
  </r>
  <r>
    <n v="140"/>
    <x v="0"/>
    <x v="2"/>
    <n v="39.700000000000003"/>
    <n v="17.899999999999999"/>
    <n v="193"/>
    <n v="4250"/>
    <x v="0"/>
    <n v="2009"/>
  </r>
  <r>
    <n v="141"/>
    <x v="0"/>
    <x v="2"/>
    <n v="40.200000000000003"/>
    <n v="17.100000000000001"/>
    <n v="193"/>
    <n v="3400"/>
    <x v="1"/>
    <n v="2009"/>
  </r>
  <r>
    <n v="142"/>
    <x v="0"/>
    <x v="2"/>
    <n v="40.6"/>
    <n v="17.2"/>
    <n v="187"/>
    <n v="3475"/>
    <x v="0"/>
    <n v="2009"/>
  </r>
  <r>
    <n v="143"/>
    <x v="0"/>
    <x v="2"/>
    <n v="32.1"/>
    <n v="15.5"/>
    <n v="188"/>
    <n v="3050"/>
    <x v="1"/>
    <n v="2009"/>
  </r>
  <r>
    <n v="144"/>
    <x v="0"/>
    <x v="2"/>
    <n v="40.700000000000003"/>
    <n v="17"/>
    <n v="190"/>
    <n v="3725"/>
    <x v="0"/>
    <n v="2009"/>
  </r>
  <r>
    <n v="145"/>
    <x v="0"/>
    <x v="2"/>
    <n v="37.299999999999997"/>
    <n v="16.8"/>
    <n v="192"/>
    <n v="3000"/>
    <x v="1"/>
    <n v="2009"/>
  </r>
  <r>
    <n v="146"/>
    <x v="0"/>
    <x v="2"/>
    <n v="39"/>
    <n v="18.7"/>
    <n v="185"/>
    <n v="3650"/>
    <x v="0"/>
    <n v="2009"/>
  </r>
  <r>
    <n v="147"/>
    <x v="0"/>
    <x v="2"/>
    <n v="39.200000000000003"/>
    <n v="18.600000000000001"/>
    <n v="190"/>
    <n v="4250"/>
    <x v="0"/>
    <n v="2009"/>
  </r>
  <r>
    <n v="148"/>
    <x v="0"/>
    <x v="2"/>
    <n v="36.6"/>
    <n v="18.399999999999999"/>
    <n v="184"/>
    <n v="3475"/>
    <x v="1"/>
    <n v="2009"/>
  </r>
  <r>
    <n v="149"/>
    <x v="0"/>
    <x v="2"/>
    <n v="36"/>
    <n v="17.8"/>
    <n v="195"/>
    <n v="3450"/>
    <x v="1"/>
    <n v="2009"/>
  </r>
  <r>
    <n v="150"/>
    <x v="0"/>
    <x v="2"/>
    <n v="37.799999999999997"/>
    <n v="18.100000000000001"/>
    <n v="193"/>
    <n v="3750"/>
    <x v="0"/>
    <n v="2009"/>
  </r>
  <r>
    <n v="151"/>
    <x v="0"/>
    <x v="2"/>
    <n v="36"/>
    <n v="17.100000000000001"/>
    <n v="187"/>
    <n v="3700"/>
    <x v="1"/>
    <n v="2009"/>
  </r>
  <r>
    <n v="152"/>
    <x v="0"/>
    <x v="2"/>
    <n v="41.5"/>
    <n v="18.5"/>
    <n v="201"/>
    <n v="4000"/>
    <x v="0"/>
    <n v="2009"/>
  </r>
  <r>
    <n v="153"/>
    <x v="1"/>
    <x v="1"/>
    <n v="46.1"/>
    <n v="13.2"/>
    <n v="211"/>
    <n v="4500"/>
    <x v="1"/>
    <n v="2007"/>
  </r>
  <r>
    <n v="154"/>
    <x v="1"/>
    <x v="1"/>
    <n v="50"/>
    <n v="16.3"/>
    <n v="230"/>
    <n v="5700"/>
    <x v="0"/>
    <n v="2007"/>
  </r>
  <r>
    <n v="155"/>
    <x v="1"/>
    <x v="1"/>
    <n v="48.7"/>
    <n v="14.1"/>
    <n v="210"/>
    <n v="4450"/>
    <x v="1"/>
    <n v="2007"/>
  </r>
  <r>
    <n v="156"/>
    <x v="1"/>
    <x v="1"/>
    <n v="50"/>
    <n v="15.2"/>
    <n v="218"/>
    <n v="5700"/>
    <x v="0"/>
    <n v="2007"/>
  </r>
  <r>
    <n v="157"/>
    <x v="1"/>
    <x v="1"/>
    <n v="47.6"/>
    <n v="14.5"/>
    <n v="215"/>
    <n v="5400"/>
    <x v="0"/>
    <n v="2007"/>
  </r>
  <r>
    <n v="158"/>
    <x v="1"/>
    <x v="1"/>
    <n v="46.5"/>
    <n v="13.5"/>
    <n v="210"/>
    <n v="4550"/>
    <x v="1"/>
    <n v="2007"/>
  </r>
  <r>
    <n v="159"/>
    <x v="1"/>
    <x v="1"/>
    <n v="45.4"/>
    <n v="14.6"/>
    <n v="211"/>
    <n v="4800"/>
    <x v="1"/>
    <n v="2007"/>
  </r>
  <r>
    <n v="160"/>
    <x v="1"/>
    <x v="1"/>
    <n v="46.7"/>
    <n v="15.3"/>
    <n v="219"/>
    <n v="5200"/>
    <x v="0"/>
    <n v="2007"/>
  </r>
  <r>
    <n v="161"/>
    <x v="1"/>
    <x v="1"/>
    <n v="43.3"/>
    <n v="13.4"/>
    <n v="209"/>
    <n v="4400"/>
    <x v="1"/>
    <n v="2007"/>
  </r>
  <r>
    <n v="162"/>
    <x v="1"/>
    <x v="1"/>
    <n v="46.8"/>
    <n v="15.4"/>
    <n v="215"/>
    <n v="5150"/>
    <x v="0"/>
    <n v="2007"/>
  </r>
  <r>
    <n v="163"/>
    <x v="1"/>
    <x v="1"/>
    <n v="40.9"/>
    <n v="13.7"/>
    <n v="214"/>
    <n v="4650"/>
    <x v="1"/>
    <n v="2007"/>
  </r>
  <r>
    <n v="164"/>
    <x v="1"/>
    <x v="1"/>
    <n v="49"/>
    <n v="16.100000000000001"/>
    <n v="216"/>
    <n v="5550"/>
    <x v="0"/>
    <n v="2007"/>
  </r>
  <r>
    <n v="165"/>
    <x v="1"/>
    <x v="1"/>
    <n v="45.5"/>
    <n v="13.7"/>
    <n v="214"/>
    <n v="4650"/>
    <x v="1"/>
    <n v="2007"/>
  </r>
  <r>
    <n v="166"/>
    <x v="1"/>
    <x v="1"/>
    <n v="48.4"/>
    <n v="14.6"/>
    <n v="213"/>
    <n v="5850"/>
    <x v="0"/>
    <n v="2007"/>
  </r>
  <r>
    <n v="167"/>
    <x v="1"/>
    <x v="1"/>
    <n v="45.8"/>
    <n v="14.6"/>
    <n v="210"/>
    <n v="4200"/>
    <x v="1"/>
    <n v="2007"/>
  </r>
  <r>
    <n v="168"/>
    <x v="1"/>
    <x v="1"/>
    <n v="49.3"/>
    <n v="15.7"/>
    <n v="217"/>
    <n v="5850"/>
    <x v="0"/>
    <n v="2007"/>
  </r>
  <r>
    <n v="169"/>
    <x v="1"/>
    <x v="1"/>
    <n v="42"/>
    <n v="13.5"/>
    <n v="210"/>
    <n v="4150"/>
    <x v="1"/>
    <n v="2007"/>
  </r>
  <r>
    <n v="170"/>
    <x v="1"/>
    <x v="1"/>
    <n v="49.2"/>
    <n v="15.2"/>
    <n v="221"/>
    <n v="6300"/>
    <x v="0"/>
    <n v="2007"/>
  </r>
  <r>
    <n v="171"/>
    <x v="1"/>
    <x v="1"/>
    <n v="46.2"/>
    <n v="14.5"/>
    <n v="209"/>
    <n v="4800"/>
    <x v="1"/>
    <n v="2007"/>
  </r>
  <r>
    <n v="172"/>
    <x v="1"/>
    <x v="1"/>
    <n v="48.7"/>
    <n v="15.1"/>
    <n v="222"/>
    <n v="5350"/>
    <x v="0"/>
    <n v="2007"/>
  </r>
  <r>
    <n v="173"/>
    <x v="1"/>
    <x v="1"/>
    <n v="50.2"/>
    <n v="14.3"/>
    <n v="218"/>
    <n v="5700"/>
    <x v="0"/>
    <n v="2007"/>
  </r>
  <r>
    <n v="174"/>
    <x v="1"/>
    <x v="1"/>
    <n v="45.1"/>
    <n v="14.5"/>
    <n v="215"/>
    <n v="5000"/>
    <x v="1"/>
    <n v="2007"/>
  </r>
  <r>
    <n v="175"/>
    <x v="1"/>
    <x v="1"/>
    <n v="46.5"/>
    <n v="14.5"/>
    <n v="213"/>
    <n v="4400"/>
    <x v="1"/>
    <n v="2007"/>
  </r>
  <r>
    <n v="176"/>
    <x v="1"/>
    <x v="1"/>
    <n v="46.3"/>
    <n v="15.8"/>
    <n v="215"/>
    <n v="5050"/>
    <x v="0"/>
    <n v="2007"/>
  </r>
  <r>
    <n v="177"/>
    <x v="1"/>
    <x v="1"/>
    <n v="42.9"/>
    <n v="13.1"/>
    <n v="215"/>
    <n v="5000"/>
    <x v="1"/>
    <n v="2007"/>
  </r>
  <r>
    <n v="178"/>
    <x v="1"/>
    <x v="1"/>
    <n v="46.1"/>
    <n v="15.1"/>
    <n v="215"/>
    <n v="5100"/>
    <x v="0"/>
    <n v="2007"/>
  </r>
  <r>
    <n v="180"/>
    <x v="1"/>
    <x v="1"/>
    <n v="47.8"/>
    <n v="15"/>
    <n v="215"/>
    <n v="5650"/>
    <x v="0"/>
    <n v="2007"/>
  </r>
  <r>
    <n v="181"/>
    <x v="1"/>
    <x v="1"/>
    <n v="48.2"/>
    <n v="14.3"/>
    <n v="210"/>
    <n v="4600"/>
    <x v="1"/>
    <n v="2007"/>
  </r>
  <r>
    <n v="182"/>
    <x v="1"/>
    <x v="1"/>
    <n v="50"/>
    <n v="15.3"/>
    <n v="220"/>
    <n v="5550"/>
    <x v="0"/>
    <n v="2007"/>
  </r>
  <r>
    <n v="183"/>
    <x v="1"/>
    <x v="1"/>
    <n v="47.3"/>
    <n v="15.3"/>
    <n v="222"/>
    <n v="5250"/>
    <x v="0"/>
    <n v="2007"/>
  </r>
  <r>
    <n v="184"/>
    <x v="1"/>
    <x v="1"/>
    <n v="42.8"/>
    <n v="14.2"/>
    <n v="209"/>
    <n v="4700"/>
    <x v="1"/>
    <n v="2007"/>
  </r>
  <r>
    <n v="185"/>
    <x v="1"/>
    <x v="1"/>
    <n v="45.1"/>
    <n v="14.5"/>
    <n v="207"/>
    <n v="5050"/>
    <x v="1"/>
    <n v="2007"/>
  </r>
  <r>
    <n v="186"/>
    <x v="1"/>
    <x v="1"/>
    <n v="59.6"/>
    <n v="17"/>
    <n v="230"/>
    <n v="6050"/>
    <x v="0"/>
    <n v="2007"/>
  </r>
  <r>
    <n v="187"/>
    <x v="1"/>
    <x v="1"/>
    <n v="49.1"/>
    <n v="14.8"/>
    <n v="220"/>
    <n v="5150"/>
    <x v="1"/>
    <n v="2008"/>
  </r>
  <r>
    <n v="188"/>
    <x v="1"/>
    <x v="1"/>
    <n v="48.4"/>
    <n v="16.3"/>
    <n v="220"/>
    <n v="5400"/>
    <x v="0"/>
    <n v="2008"/>
  </r>
  <r>
    <n v="189"/>
    <x v="1"/>
    <x v="1"/>
    <n v="42.6"/>
    <n v="13.7"/>
    <n v="213"/>
    <n v="4950"/>
    <x v="1"/>
    <n v="2008"/>
  </r>
  <r>
    <n v="190"/>
    <x v="1"/>
    <x v="1"/>
    <n v="44.4"/>
    <n v="17.3"/>
    <n v="219"/>
    <n v="5250"/>
    <x v="0"/>
    <n v="2008"/>
  </r>
  <r>
    <n v="191"/>
    <x v="1"/>
    <x v="1"/>
    <n v="44"/>
    <n v="13.6"/>
    <n v="208"/>
    <n v="4350"/>
    <x v="1"/>
    <n v="2008"/>
  </r>
  <r>
    <n v="192"/>
    <x v="1"/>
    <x v="1"/>
    <n v="48.7"/>
    <n v="15.7"/>
    <n v="208"/>
    <n v="5350"/>
    <x v="0"/>
    <n v="2008"/>
  </r>
  <r>
    <n v="193"/>
    <x v="1"/>
    <x v="1"/>
    <n v="42.7"/>
    <n v="13.7"/>
    <n v="208"/>
    <n v="3950"/>
    <x v="1"/>
    <n v="2008"/>
  </r>
  <r>
    <n v="194"/>
    <x v="1"/>
    <x v="1"/>
    <n v="49.6"/>
    <n v="16"/>
    <n v="225"/>
    <n v="5700"/>
    <x v="0"/>
    <n v="2008"/>
  </r>
  <r>
    <n v="195"/>
    <x v="1"/>
    <x v="1"/>
    <n v="45.3"/>
    <n v="13.7"/>
    <n v="210"/>
    <n v="4300"/>
    <x v="1"/>
    <n v="2008"/>
  </r>
  <r>
    <n v="196"/>
    <x v="1"/>
    <x v="1"/>
    <n v="49.6"/>
    <n v="15"/>
    <n v="216"/>
    <n v="4750"/>
    <x v="0"/>
    <n v="2008"/>
  </r>
  <r>
    <n v="197"/>
    <x v="1"/>
    <x v="1"/>
    <n v="50.5"/>
    <n v="15.9"/>
    <n v="222"/>
    <n v="5550"/>
    <x v="0"/>
    <n v="2008"/>
  </r>
  <r>
    <n v="198"/>
    <x v="1"/>
    <x v="1"/>
    <n v="43.6"/>
    <n v="13.9"/>
    <n v="217"/>
    <n v="4900"/>
    <x v="1"/>
    <n v="2008"/>
  </r>
  <r>
    <n v="199"/>
    <x v="1"/>
    <x v="1"/>
    <n v="45.5"/>
    <n v="13.9"/>
    <n v="210"/>
    <n v="4200"/>
    <x v="1"/>
    <n v="2008"/>
  </r>
  <r>
    <n v="200"/>
    <x v="1"/>
    <x v="1"/>
    <n v="50.5"/>
    <n v="15.9"/>
    <n v="225"/>
    <n v="5400"/>
    <x v="0"/>
    <n v="2008"/>
  </r>
  <r>
    <n v="201"/>
    <x v="1"/>
    <x v="1"/>
    <n v="44.9"/>
    <n v="13.3"/>
    <n v="213"/>
    <n v="5100"/>
    <x v="1"/>
    <n v="2008"/>
  </r>
  <r>
    <n v="202"/>
    <x v="1"/>
    <x v="1"/>
    <n v="45.2"/>
    <n v="15.8"/>
    <n v="215"/>
    <n v="5300"/>
    <x v="0"/>
    <n v="2008"/>
  </r>
  <r>
    <n v="203"/>
    <x v="1"/>
    <x v="1"/>
    <n v="46.6"/>
    <n v="14.2"/>
    <n v="210"/>
    <n v="4850"/>
    <x v="1"/>
    <n v="2008"/>
  </r>
  <r>
    <n v="204"/>
    <x v="1"/>
    <x v="1"/>
    <n v="48.5"/>
    <n v="14.1"/>
    <n v="220"/>
    <n v="5300"/>
    <x v="0"/>
    <n v="2008"/>
  </r>
  <r>
    <n v="205"/>
    <x v="1"/>
    <x v="1"/>
    <n v="45.1"/>
    <n v="14.4"/>
    <n v="210"/>
    <n v="4400"/>
    <x v="1"/>
    <n v="2008"/>
  </r>
  <r>
    <n v="206"/>
    <x v="1"/>
    <x v="1"/>
    <n v="50.1"/>
    <n v="15"/>
    <n v="225"/>
    <n v="5000"/>
    <x v="0"/>
    <n v="2008"/>
  </r>
  <r>
    <n v="207"/>
    <x v="1"/>
    <x v="1"/>
    <n v="46.5"/>
    <n v="14.4"/>
    <n v="217"/>
    <n v="4900"/>
    <x v="1"/>
    <n v="2008"/>
  </r>
  <r>
    <n v="208"/>
    <x v="1"/>
    <x v="1"/>
    <n v="45"/>
    <n v="15.4"/>
    <n v="220"/>
    <n v="5050"/>
    <x v="0"/>
    <n v="2008"/>
  </r>
  <r>
    <n v="209"/>
    <x v="1"/>
    <x v="1"/>
    <n v="43.8"/>
    <n v="13.9"/>
    <n v="208"/>
    <n v="4300"/>
    <x v="1"/>
    <n v="2008"/>
  </r>
  <r>
    <n v="210"/>
    <x v="1"/>
    <x v="1"/>
    <n v="45.5"/>
    <n v="15"/>
    <n v="220"/>
    <n v="5000"/>
    <x v="0"/>
    <n v="2008"/>
  </r>
  <r>
    <n v="211"/>
    <x v="1"/>
    <x v="1"/>
    <n v="43.2"/>
    <n v="14.5"/>
    <n v="208"/>
    <n v="4450"/>
    <x v="1"/>
    <n v="2008"/>
  </r>
  <r>
    <n v="212"/>
    <x v="1"/>
    <x v="1"/>
    <n v="50.4"/>
    <n v="15.3"/>
    <n v="224"/>
    <n v="5550"/>
    <x v="0"/>
    <n v="2008"/>
  </r>
  <r>
    <n v="213"/>
    <x v="1"/>
    <x v="1"/>
    <n v="45.3"/>
    <n v="13.8"/>
    <n v="208"/>
    <n v="4200"/>
    <x v="1"/>
    <n v="2008"/>
  </r>
  <r>
    <n v="214"/>
    <x v="1"/>
    <x v="1"/>
    <n v="46.2"/>
    <n v="14.9"/>
    <n v="221"/>
    <n v="5300"/>
    <x v="0"/>
    <n v="2008"/>
  </r>
  <r>
    <n v="215"/>
    <x v="1"/>
    <x v="1"/>
    <n v="45.7"/>
    <n v="13.9"/>
    <n v="214"/>
    <n v="4400"/>
    <x v="1"/>
    <n v="2008"/>
  </r>
  <r>
    <n v="216"/>
    <x v="1"/>
    <x v="1"/>
    <n v="54.3"/>
    <n v="15.7"/>
    <n v="231"/>
    <n v="5650"/>
    <x v="0"/>
    <n v="2008"/>
  </r>
  <r>
    <n v="217"/>
    <x v="1"/>
    <x v="1"/>
    <n v="45.8"/>
    <n v="14.2"/>
    <n v="219"/>
    <n v="4700"/>
    <x v="1"/>
    <n v="2008"/>
  </r>
  <r>
    <n v="218"/>
    <x v="1"/>
    <x v="1"/>
    <n v="49.8"/>
    <n v="16.8"/>
    <n v="230"/>
    <n v="5700"/>
    <x v="0"/>
    <n v="2008"/>
  </r>
  <r>
    <n v="220"/>
    <x v="1"/>
    <x v="1"/>
    <n v="49.5"/>
    <n v="16.2"/>
    <n v="229"/>
    <n v="5800"/>
    <x v="0"/>
    <n v="2008"/>
  </r>
  <r>
    <n v="221"/>
    <x v="1"/>
    <x v="1"/>
    <n v="43.5"/>
    <n v="14.2"/>
    <n v="220"/>
    <n v="4700"/>
    <x v="1"/>
    <n v="2008"/>
  </r>
  <r>
    <n v="222"/>
    <x v="1"/>
    <x v="1"/>
    <n v="50.7"/>
    <n v="15"/>
    <n v="223"/>
    <n v="5550"/>
    <x v="0"/>
    <n v="2008"/>
  </r>
  <r>
    <n v="223"/>
    <x v="1"/>
    <x v="1"/>
    <n v="47.7"/>
    <n v="15"/>
    <n v="216"/>
    <n v="4750"/>
    <x v="1"/>
    <n v="2008"/>
  </r>
  <r>
    <n v="224"/>
    <x v="1"/>
    <x v="1"/>
    <n v="46.4"/>
    <n v="15.6"/>
    <n v="221"/>
    <n v="5000"/>
    <x v="0"/>
    <n v="2008"/>
  </r>
  <r>
    <n v="225"/>
    <x v="1"/>
    <x v="1"/>
    <n v="48.2"/>
    <n v="15.6"/>
    <n v="221"/>
    <n v="5100"/>
    <x v="0"/>
    <n v="2008"/>
  </r>
  <r>
    <n v="226"/>
    <x v="1"/>
    <x v="1"/>
    <n v="46.5"/>
    <n v="14.8"/>
    <n v="217"/>
    <n v="5200"/>
    <x v="1"/>
    <n v="2008"/>
  </r>
  <r>
    <n v="227"/>
    <x v="1"/>
    <x v="1"/>
    <n v="46.4"/>
    <n v="15"/>
    <n v="216"/>
    <n v="4700"/>
    <x v="1"/>
    <n v="2008"/>
  </r>
  <r>
    <n v="228"/>
    <x v="1"/>
    <x v="1"/>
    <n v="48.6"/>
    <n v="16"/>
    <n v="230"/>
    <n v="5800"/>
    <x v="0"/>
    <n v="2008"/>
  </r>
  <r>
    <n v="229"/>
    <x v="1"/>
    <x v="1"/>
    <n v="47.5"/>
    <n v="14.2"/>
    <n v="209"/>
    <n v="4600"/>
    <x v="1"/>
    <n v="2008"/>
  </r>
  <r>
    <n v="230"/>
    <x v="1"/>
    <x v="1"/>
    <n v="51.1"/>
    <n v="16.3"/>
    <n v="220"/>
    <n v="6000"/>
    <x v="0"/>
    <n v="2008"/>
  </r>
  <r>
    <n v="231"/>
    <x v="1"/>
    <x v="1"/>
    <n v="45.2"/>
    <n v="13.8"/>
    <n v="215"/>
    <n v="4750"/>
    <x v="1"/>
    <n v="2008"/>
  </r>
  <r>
    <n v="232"/>
    <x v="1"/>
    <x v="1"/>
    <n v="45.2"/>
    <n v="16.399999999999999"/>
    <n v="223"/>
    <n v="5950"/>
    <x v="0"/>
    <n v="2008"/>
  </r>
  <r>
    <n v="233"/>
    <x v="1"/>
    <x v="1"/>
    <n v="49.1"/>
    <n v="14.5"/>
    <n v="212"/>
    <n v="4625"/>
    <x v="1"/>
    <n v="2009"/>
  </r>
  <r>
    <n v="234"/>
    <x v="1"/>
    <x v="1"/>
    <n v="52.5"/>
    <n v="15.6"/>
    <n v="221"/>
    <n v="5450"/>
    <x v="0"/>
    <n v="2009"/>
  </r>
  <r>
    <n v="235"/>
    <x v="1"/>
    <x v="1"/>
    <n v="47.4"/>
    <n v="14.6"/>
    <n v="212"/>
    <n v="4725"/>
    <x v="1"/>
    <n v="2009"/>
  </r>
  <r>
    <n v="236"/>
    <x v="1"/>
    <x v="1"/>
    <n v="50"/>
    <n v="15.9"/>
    <n v="224"/>
    <n v="5350"/>
    <x v="0"/>
    <n v="2009"/>
  </r>
  <r>
    <n v="237"/>
    <x v="1"/>
    <x v="1"/>
    <n v="44.9"/>
    <n v="13.8"/>
    <n v="212"/>
    <n v="4750"/>
    <x v="1"/>
    <n v="2009"/>
  </r>
  <r>
    <n v="238"/>
    <x v="1"/>
    <x v="1"/>
    <n v="50.8"/>
    <n v="17.3"/>
    <n v="228"/>
    <n v="5600"/>
    <x v="0"/>
    <n v="2009"/>
  </r>
  <r>
    <n v="239"/>
    <x v="1"/>
    <x v="1"/>
    <n v="43.4"/>
    <n v="14.4"/>
    <n v="218"/>
    <n v="4600"/>
    <x v="1"/>
    <n v="2009"/>
  </r>
  <r>
    <n v="240"/>
    <x v="1"/>
    <x v="1"/>
    <n v="51.3"/>
    <n v="14.2"/>
    <n v="218"/>
    <n v="5300"/>
    <x v="0"/>
    <n v="2009"/>
  </r>
  <r>
    <n v="241"/>
    <x v="1"/>
    <x v="1"/>
    <n v="47.5"/>
    <n v="14"/>
    <n v="212"/>
    <n v="4875"/>
    <x v="1"/>
    <n v="2009"/>
  </r>
  <r>
    <n v="242"/>
    <x v="1"/>
    <x v="1"/>
    <n v="52.1"/>
    <n v="17"/>
    <n v="230"/>
    <n v="5550"/>
    <x v="0"/>
    <n v="2009"/>
  </r>
  <r>
    <n v="243"/>
    <x v="1"/>
    <x v="1"/>
    <n v="47.5"/>
    <n v="15"/>
    <n v="218"/>
    <n v="4950"/>
    <x v="1"/>
    <n v="2009"/>
  </r>
  <r>
    <n v="244"/>
    <x v="1"/>
    <x v="1"/>
    <n v="52.2"/>
    <n v="17.100000000000001"/>
    <n v="228"/>
    <n v="5400"/>
    <x v="0"/>
    <n v="2009"/>
  </r>
  <r>
    <n v="245"/>
    <x v="1"/>
    <x v="1"/>
    <n v="45.5"/>
    <n v="14.5"/>
    <n v="212"/>
    <n v="4750"/>
    <x v="1"/>
    <n v="2009"/>
  </r>
  <r>
    <n v="246"/>
    <x v="1"/>
    <x v="1"/>
    <n v="49.5"/>
    <n v="16.100000000000001"/>
    <n v="224"/>
    <n v="5650"/>
    <x v="0"/>
    <n v="2009"/>
  </r>
  <r>
    <n v="247"/>
    <x v="1"/>
    <x v="1"/>
    <n v="44.5"/>
    <n v="14.7"/>
    <n v="214"/>
    <n v="4850"/>
    <x v="1"/>
    <n v="2009"/>
  </r>
  <r>
    <n v="248"/>
    <x v="1"/>
    <x v="1"/>
    <n v="50.8"/>
    <n v="15.7"/>
    <n v="226"/>
    <n v="5200"/>
    <x v="0"/>
    <n v="2009"/>
  </r>
  <r>
    <n v="249"/>
    <x v="1"/>
    <x v="1"/>
    <n v="49.4"/>
    <n v="15.8"/>
    <n v="216"/>
    <n v="4925"/>
    <x v="0"/>
    <n v="2009"/>
  </r>
  <r>
    <n v="250"/>
    <x v="1"/>
    <x v="1"/>
    <n v="46.9"/>
    <n v="14.6"/>
    <n v="222"/>
    <n v="4875"/>
    <x v="1"/>
    <n v="2009"/>
  </r>
  <r>
    <n v="251"/>
    <x v="1"/>
    <x v="1"/>
    <n v="48.4"/>
    <n v="14.4"/>
    <n v="203"/>
    <n v="4625"/>
    <x v="1"/>
    <n v="2009"/>
  </r>
  <r>
    <n v="252"/>
    <x v="1"/>
    <x v="1"/>
    <n v="51.1"/>
    <n v="16.5"/>
    <n v="225"/>
    <n v="5250"/>
    <x v="0"/>
    <n v="2009"/>
  </r>
  <r>
    <n v="253"/>
    <x v="1"/>
    <x v="1"/>
    <n v="48.5"/>
    <n v="15"/>
    <n v="219"/>
    <n v="4850"/>
    <x v="1"/>
    <n v="2009"/>
  </r>
  <r>
    <n v="254"/>
    <x v="1"/>
    <x v="1"/>
    <n v="55.9"/>
    <n v="17"/>
    <n v="228"/>
    <n v="5600"/>
    <x v="0"/>
    <n v="2009"/>
  </r>
  <r>
    <n v="255"/>
    <x v="1"/>
    <x v="1"/>
    <n v="47.2"/>
    <n v="15.5"/>
    <n v="215"/>
    <n v="4975"/>
    <x v="1"/>
    <n v="2009"/>
  </r>
  <r>
    <n v="256"/>
    <x v="1"/>
    <x v="1"/>
    <n v="49.1"/>
    <n v="15"/>
    <n v="228"/>
    <n v="5500"/>
    <x v="0"/>
    <n v="2009"/>
  </r>
  <r>
    <n v="258"/>
    <x v="1"/>
    <x v="1"/>
    <n v="46.8"/>
    <n v="16.100000000000001"/>
    <n v="215"/>
    <n v="5500"/>
    <x v="0"/>
    <n v="2009"/>
  </r>
  <r>
    <n v="259"/>
    <x v="1"/>
    <x v="1"/>
    <n v="41.7"/>
    <n v="14.7"/>
    <n v="210"/>
    <n v="4700"/>
    <x v="1"/>
    <n v="2009"/>
  </r>
  <r>
    <n v="260"/>
    <x v="1"/>
    <x v="1"/>
    <n v="53.4"/>
    <n v="15.8"/>
    <n v="219"/>
    <n v="5500"/>
    <x v="0"/>
    <n v="2009"/>
  </r>
  <r>
    <n v="261"/>
    <x v="1"/>
    <x v="1"/>
    <n v="43.3"/>
    <n v="14"/>
    <n v="208"/>
    <n v="4575"/>
    <x v="1"/>
    <n v="2009"/>
  </r>
  <r>
    <n v="262"/>
    <x v="1"/>
    <x v="1"/>
    <n v="48.1"/>
    <n v="15.1"/>
    <n v="209"/>
    <n v="5500"/>
    <x v="0"/>
    <n v="2009"/>
  </r>
  <r>
    <n v="263"/>
    <x v="1"/>
    <x v="1"/>
    <n v="50.5"/>
    <n v="15.2"/>
    <n v="216"/>
    <n v="5000"/>
    <x v="1"/>
    <n v="2009"/>
  </r>
  <r>
    <n v="264"/>
    <x v="1"/>
    <x v="1"/>
    <n v="49.8"/>
    <n v="15.9"/>
    <n v="229"/>
    <n v="5950"/>
    <x v="0"/>
    <n v="2009"/>
  </r>
  <r>
    <n v="265"/>
    <x v="1"/>
    <x v="1"/>
    <n v="43.5"/>
    <n v="15.2"/>
    <n v="213"/>
    <n v="4650"/>
    <x v="1"/>
    <n v="2009"/>
  </r>
  <r>
    <n v="266"/>
    <x v="1"/>
    <x v="1"/>
    <n v="51.5"/>
    <n v="16.3"/>
    <n v="230"/>
    <n v="5500"/>
    <x v="0"/>
    <n v="2009"/>
  </r>
  <r>
    <n v="267"/>
    <x v="1"/>
    <x v="1"/>
    <n v="46.2"/>
    <n v="14.1"/>
    <n v="217"/>
    <n v="4375"/>
    <x v="1"/>
    <n v="2009"/>
  </r>
  <r>
    <n v="268"/>
    <x v="1"/>
    <x v="1"/>
    <n v="55.1"/>
    <n v="16"/>
    <n v="230"/>
    <n v="5850"/>
    <x v="0"/>
    <n v="2009"/>
  </r>
  <r>
    <n v="270"/>
    <x v="1"/>
    <x v="1"/>
    <n v="48.8"/>
    <n v="16.2"/>
    <n v="222"/>
    <n v="6000"/>
    <x v="0"/>
    <n v="2009"/>
  </r>
  <r>
    <n v="271"/>
    <x v="1"/>
    <x v="1"/>
    <n v="47.2"/>
    <n v="13.7"/>
    <n v="214"/>
    <n v="4925"/>
    <x v="1"/>
    <n v="2009"/>
  </r>
  <r>
    <n v="273"/>
    <x v="1"/>
    <x v="1"/>
    <n v="46.8"/>
    <n v="14.3"/>
    <n v="215"/>
    <n v="4850"/>
    <x v="1"/>
    <n v="2009"/>
  </r>
  <r>
    <n v="274"/>
    <x v="1"/>
    <x v="1"/>
    <n v="50.4"/>
    <n v="15.7"/>
    <n v="222"/>
    <n v="5750"/>
    <x v="0"/>
    <n v="2009"/>
  </r>
  <r>
    <n v="275"/>
    <x v="1"/>
    <x v="1"/>
    <n v="45.2"/>
    <n v="14.8"/>
    <n v="212"/>
    <n v="5200"/>
    <x v="1"/>
    <n v="2009"/>
  </r>
  <r>
    <n v="276"/>
    <x v="1"/>
    <x v="1"/>
    <n v="49.9"/>
    <n v="16.100000000000001"/>
    <n v="213"/>
    <n v="5400"/>
    <x v="0"/>
    <n v="2009"/>
  </r>
  <r>
    <n v="277"/>
    <x v="2"/>
    <x v="2"/>
    <n v="46.5"/>
    <n v="17.899999999999999"/>
    <n v="192"/>
    <n v="3500"/>
    <x v="1"/>
    <n v="2007"/>
  </r>
  <r>
    <n v="278"/>
    <x v="2"/>
    <x v="2"/>
    <n v="50"/>
    <n v="19.5"/>
    <n v="196"/>
    <n v="3900"/>
    <x v="0"/>
    <n v="2007"/>
  </r>
  <r>
    <n v="279"/>
    <x v="2"/>
    <x v="2"/>
    <n v="51.3"/>
    <n v="19.2"/>
    <n v="193"/>
    <n v="3650"/>
    <x v="0"/>
    <n v="2007"/>
  </r>
  <r>
    <n v="280"/>
    <x v="2"/>
    <x v="2"/>
    <n v="45.4"/>
    <n v="18.7"/>
    <n v="188"/>
    <n v="3525"/>
    <x v="1"/>
    <n v="2007"/>
  </r>
  <r>
    <n v="281"/>
    <x v="2"/>
    <x v="2"/>
    <n v="52.7"/>
    <n v="19.8"/>
    <n v="197"/>
    <n v="3725"/>
    <x v="0"/>
    <n v="2007"/>
  </r>
  <r>
    <n v="282"/>
    <x v="2"/>
    <x v="2"/>
    <n v="45.2"/>
    <n v="17.8"/>
    <n v="198"/>
    <n v="3950"/>
    <x v="1"/>
    <n v="2007"/>
  </r>
  <r>
    <n v="283"/>
    <x v="2"/>
    <x v="2"/>
    <n v="46.1"/>
    <n v="18.2"/>
    <n v="178"/>
    <n v="3250"/>
    <x v="1"/>
    <n v="2007"/>
  </r>
  <r>
    <n v="284"/>
    <x v="2"/>
    <x v="2"/>
    <n v="51.3"/>
    <n v="18.2"/>
    <n v="197"/>
    <n v="3750"/>
    <x v="0"/>
    <n v="2007"/>
  </r>
  <r>
    <n v="285"/>
    <x v="2"/>
    <x v="2"/>
    <n v="46"/>
    <n v="18.899999999999999"/>
    <n v="195"/>
    <n v="4150"/>
    <x v="1"/>
    <n v="2007"/>
  </r>
  <r>
    <n v="286"/>
    <x v="2"/>
    <x v="2"/>
    <n v="51.3"/>
    <n v="19.899999999999999"/>
    <n v="198"/>
    <n v="3700"/>
    <x v="0"/>
    <n v="2007"/>
  </r>
  <r>
    <n v="287"/>
    <x v="2"/>
    <x v="2"/>
    <n v="46.6"/>
    <n v="17.8"/>
    <n v="193"/>
    <n v="3800"/>
    <x v="1"/>
    <n v="2007"/>
  </r>
  <r>
    <n v="288"/>
    <x v="2"/>
    <x v="2"/>
    <n v="51.7"/>
    <n v="20.3"/>
    <n v="194"/>
    <n v="3775"/>
    <x v="0"/>
    <n v="2007"/>
  </r>
  <r>
    <n v="289"/>
    <x v="2"/>
    <x v="2"/>
    <n v="47"/>
    <n v="17.3"/>
    <n v="185"/>
    <n v="3700"/>
    <x v="1"/>
    <n v="2007"/>
  </r>
  <r>
    <n v="290"/>
    <x v="2"/>
    <x v="2"/>
    <n v="52"/>
    <n v="18.100000000000001"/>
    <n v="201"/>
    <n v="4050"/>
    <x v="0"/>
    <n v="2007"/>
  </r>
  <r>
    <n v="291"/>
    <x v="2"/>
    <x v="2"/>
    <n v="45.9"/>
    <n v="17.100000000000001"/>
    <n v="190"/>
    <n v="3575"/>
    <x v="1"/>
    <n v="2007"/>
  </r>
  <r>
    <n v="292"/>
    <x v="2"/>
    <x v="2"/>
    <n v="50.5"/>
    <n v="19.600000000000001"/>
    <n v="201"/>
    <n v="4050"/>
    <x v="0"/>
    <n v="2007"/>
  </r>
  <r>
    <n v="293"/>
    <x v="2"/>
    <x v="2"/>
    <n v="50.3"/>
    <n v="20"/>
    <n v="197"/>
    <n v="3300"/>
    <x v="0"/>
    <n v="2007"/>
  </r>
  <r>
    <n v="294"/>
    <x v="2"/>
    <x v="2"/>
    <n v="58"/>
    <n v="17.8"/>
    <n v="181"/>
    <n v="3700"/>
    <x v="1"/>
    <n v="2007"/>
  </r>
  <r>
    <n v="295"/>
    <x v="2"/>
    <x v="2"/>
    <n v="46.4"/>
    <n v="18.600000000000001"/>
    <n v="190"/>
    <n v="3450"/>
    <x v="1"/>
    <n v="2007"/>
  </r>
  <r>
    <n v="296"/>
    <x v="2"/>
    <x v="2"/>
    <n v="49.2"/>
    <n v="18.2"/>
    <n v="195"/>
    <n v="4400"/>
    <x v="0"/>
    <n v="2007"/>
  </r>
  <r>
    <n v="297"/>
    <x v="2"/>
    <x v="2"/>
    <n v="42.4"/>
    <n v="17.3"/>
    <n v="181"/>
    <n v="3600"/>
    <x v="1"/>
    <n v="2007"/>
  </r>
  <r>
    <n v="298"/>
    <x v="2"/>
    <x v="2"/>
    <n v="48.5"/>
    <n v="17.5"/>
    <n v="191"/>
    <n v="3400"/>
    <x v="0"/>
    <n v="2007"/>
  </r>
  <r>
    <n v="299"/>
    <x v="2"/>
    <x v="2"/>
    <n v="43.2"/>
    <n v="16.600000000000001"/>
    <n v="187"/>
    <n v="2900"/>
    <x v="1"/>
    <n v="2007"/>
  </r>
  <r>
    <n v="300"/>
    <x v="2"/>
    <x v="2"/>
    <n v="50.6"/>
    <n v="19.399999999999999"/>
    <n v="193"/>
    <n v="3800"/>
    <x v="0"/>
    <n v="2007"/>
  </r>
  <r>
    <n v="301"/>
    <x v="2"/>
    <x v="2"/>
    <n v="46.7"/>
    <n v="17.899999999999999"/>
    <n v="195"/>
    <n v="3300"/>
    <x v="1"/>
    <n v="2007"/>
  </r>
  <r>
    <n v="302"/>
    <x v="2"/>
    <x v="2"/>
    <n v="52"/>
    <n v="19"/>
    <n v="197"/>
    <n v="4150"/>
    <x v="0"/>
    <n v="2007"/>
  </r>
  <r>
    <n v="303"/>
    <x v="2"/>
    <x v="2"/>
    <n v="50.5"/>
    <n v="18.399999999999999"/>
    <n v="200"/>
    <n v="3400"/>
    <x v="1"/>
    <n v="2008"/>
  </r>
  <r>
    <n v="304"/>
    <x v="2"/>
    <x v="2"/>
    <n v="49.5"/>
    <n v="19"/>
    <n v="200"/>
    <n v="3800"/>
    <x v="0"/>
    <n v="2008"/>
  </r>
  <r>
    <n v="305"/>
    <x v="2"/>
    <x v="2"/>
    <n v="46.4"/>
    <n v="17.8"/>
    <n v="191"/>
    <n v="3700"/>
    <x v="1"/>
    <n v="2008"/>
  </r>
  <r>
    <n v="306"/>
    <x v="2"/>
    <x v="2"/>
    <n v="52.8"/>
    <n v="20"/>
    <n v="205"/>
    <n v="4550"/>
    <x v="0"/>
    <n v="2008"/>
  </r>
  <r>
    <n v="307"/>
    <x v="2"/>
    <x v="2"/>
    <n v="40.9"/>
    <n v="16.600000000000001"/>
    <n v="187"/>
    <n v="3200"/>
    <x v="1"/>
    <n v="2008"/>
  </r>
  <r>
    <n v="308"/>
    <x v="2"/>
    <x v="2"/>
    <n v="54.2"/>
    <n v="20.8"/>
    <n v="201"/>
    <n v="4300"/>
    <x v="0"/>
    <n v="2008"/>
  </r>
  <r>
    <n v="309"/>
    <x v="2"/>
    <x v="2"/>
    <n v="42.5"/>
    <n v="16.7"/>
    <n v="187"/>
    <n v="3350"/>
    <x v="1"/>
    <n v="2008"/>
  </r>
  <r>
    <n v="310"/>
    <x v="2"/>
    <x v="2"/>
    <n v="51"/>
    <n v="18.8"/>
    <n v="203"/>
    <n v="4100"/>
    <x v="0"/>
    <n v="2008"/>
  </r>
  <r>
    <n v="311"/>
    <x v="2"/>
    <x v="2"/>
    <n v="49.7"/>
    <n v="18.600000000000001"/>
    <n v="195"/>
    <n v="3600"/>
    <x v="0"/>
    <n v="2008"/>
  </r>
  <r>
    <n v="312"/>
    <x v="2"/>
    <x v="2"/>
    <n v="47.5"/>
    <n v="16.8"/>
    <n v="199"/>
    <n v="3900"/>
    <x v="1"/>
    <n v="2008"/>
  </r>
  <r>
    <n v="313"/>
    <x v="2"/>
    <x v="2"/>
    <n v="47.6"/>
    <n v="18.3"/>
    <n v="195"/>
    <n v="3850"/>
    <x v="1"/>
    <n v="2008"/>
  </r>
  <r>
    <n v="314"/>
    <x v="2"/>
    <x v="2"/>
    <n v="52"/>
    <n v="20.7"/>
    <n v="210"/>
    <n v="4800"/>
    <x v="0"/>
    <n v="2008"/>
  </r>
  <r>
    <n v="315"/>
    <x v="2"/>
    <x v="2"/>
    <n v="46.9"/>
    <n v="16.600000000000001"/>
    <n v="192"/>
    <n v="2700"/>
    <x v="1"/>
    <n v="2008"/>
  </r>
  <r>
    <n v="316"/>
    <x v="2"/>
    <x v="2"/>
    <n v="53.5"/>
    <n v="19.899999999999999"/>
    <n v="205"/>
    <n v="4500"/>
    <x v="0"/>
    <n v="2008"/>
  </r>
  <r>
    <n v="317"/>
    <x v="2"/>
    <x v="2"/>
    <n v="49"/>
    <n v="19.5"/>
    <n v="210"/>
    <n v="3950"/>
    <x v="0"/>
    <n v="2008"/>
  </r>
  <r>
    <n v="318"/>
    <x v="2"/>
    <x v="2"/>
    <n v="46.2"/>
    <n v="17.5"/>
    <n v="187"/>
    <n v="3650"/>
    <x v="1"/>
    <n v="2008"/>
  </r>
  <r>
    <n v="319"/>
    <x v="2"/>
    <x v="2"/>
    <n v="50.9"/>
    <n v="19.100000000000001"/>
    <n v="196"/>
    <n v="3550"/>
    <x v="0"/>
    <n v="2008"/>
  </r>
  <r>
    <n v="320"/>
    <x v="2"/>
    <x v="2"/>
    <n v="45.5"/>
    <n v="17"/>
    <n v="196"/>
    <n v="3500"/>
    <x v="1"/>
    <n v="2008"/>
  </r>
  <r>
    <n v="321"/>
    <x v="2"/>
    <x v="2"/>
    <n v="50.9"/>
    <n v="17.899999999999999"/>
    <n v="196"/>
    <n v="3675"/>
    <x v="1"/>
    <n v="2009"/>
  </r>
  <r>
    <n v="322"/>
    <x v="2"/>
    <x v="2"/>
    <n v="50.8"/>
    <n v="18.5"/>
    <n v="201"/>
    <n v="4450"/>
    <x v="0"/>
    <n v="2009"/>
  </r>
  <r>
    <n v="323"/>
    <x v="2"/>
    <x v="2"/>
    <n v="50.1"/>
    <n v="17.899999999999999"/>
    <n v="190"/>
    <n v="3400"/>
    <x v="1"/>
    <n v="2009"/>
  </r>
  <r>
    <n v="324"/>
    <x v="2"/>
    <x v="2"/>
    <n v="49"/>
    <n v="19.600000000000001"/>
    <n v="212"/>
    <n v="4300"/>
    <x v="0"/>
    <n v="2009"/>
  </r>
  <r>
    <n v="325"/>
    <x v="2"/>
    <x v="2"/>
    <n v="51.5"/>
    <n v="18.7"/>
    <n v="187"/>
    <n v="3250"/>
    <x v="0"/>
    <n v="2009"/>
  </r>
  <r>
    <n v="326"/>
    <x v="2"/>
    <x v="2"/>
    <n v="49.8"/>
    <n v="17.3"/>
    <n v="198"/>
    <n v="3675"/>
    <x v="1"/>
    <n v="2009"/>
  </r>
  <r>
    <n v="327"/>
    <x v="2"/>
    <x v="2"/>
    <n v="48.1"/>
    <n v="16.399999999999999"/>
    <n v="199"/>
    <n v="3325"/>
    <x v="1"/>
    <n v="2009"/>
  </r>
  <r>
    <n v="328"/>
    <x v="2"/>
    <x v="2"/>
    <n v="51.4"/>
    <n v="19"/>
    <n v="201"/>
    <n v="3950"/>
    <x v="0"/>
    <n v="2009"/>
  </r>
  <r>
    <n v="329"/>
    <x v="2"/>
    <x v="2"/>
    <n v="45.7"/>
    <n v="17.3"/>
    <n v="193"/>
    <n v="3600"/>
    <x v="1"/>
    <n v="2009"/>
  </r>
  <r>
    <n v="330"/>
    <x v="2"/>
    <x v="2"/>
    <n v="50.7"/>
    <n v="19.7"/>
    <n v="203"/>
    <n v="4050"/>
    <x v="0"/>
    <n v="2009"/>
  </r>
  <r>
    <n v="331"/>
    <x v="2"/>
    <x v="2"/>
    <n v="42.5"/>
    <n v="17.3"/>
    <n v="187"/>
    <n v="3350"/>
    <x v="1"/>
    <n v="2009"/>
  </r>
  <r>
    <n v="332"/>
    <x v="2"/>
    <x v="2"/>
    <n v="52.2"/>
    <n v="18.8"/>
    <n v="197"/>
    <n v="3450"/>
    <x v="0"/>
    <n v="2009"/>
  </r>
  <r>
    <n v="333"/>
    <x v="2"/>
    <x v="2"/>
    <n v="45.2"/>
    <n v="16.600000000000001"/>
    <n v="191"/>
    <n v="3250"/>
    <x v="1"/>
    <n v="2009"/>
  </r>
  <r>
    <n v="334"/>
    <x v="2"/>
    <x v="2"/>
    <n v="49.3"/>
    <n v="19.899999999999999"/>
    <n v="203"/>
    <n v="4050"/>
    <x v="0"/>
    <n v="2009"/>
  </r>
  <r>
    <n v="335"/>
    <x v="2"/>
    <x v="2"/>
    <n v="50.2"/>
    <n v="18.8"/>
    <n v="202"/>
    <n v="3800"/>
    <x v="0"/>
    <n v="2009"/>
  </r>
  <r>
    <n v="336"/>
    <x v="2"/>
    <x v="2"/>
    <n v="45.6"/>
    <n v="19.399999999999999"/>
    <n v="194"/>
    <n v="3525"/>
    <x v="1"/>
    <n v="2009"/>
  </r>
  <r>
    <n v="337"/>
    <x v="2"/>
    <x v="2"/>
    <n v="51.9"/>
    <n v="19.5"/>
    <n v="206"/>
    <n v="3950"/>
    <x v="0"/>
    <n v="2009"/>
  </r>
  <r>
    <n v="338"/>
    <x v="2"/>
    <x v="2"/>
    <n v="46.8"/>
    <n v="16.5"/>
    <n v="189"/>
    <n v="3650"/>
    <x v="1"/>
    <n v="2009"/>
  </r>
  <r>
    <n v="339"/>
    <x v="2"/>
    <x v="2"/>
    <n v="45.7"/>
    <n v="17"/>
    <n v="195"/>
    <n v="3650"/>
    <x v="1"/>
    <n v="2009"/>
  </r>
  <r>
    <n v="340"/>
    <x v="2"/>
    <x v="2"/>
    <n v="55.8"/>
    <n v="19.8"/>
    <n v="207"/>
    <n v="4000"/>
    <x v="0"/>
    <n v="2009"/>
  </r>
  <r>
    <n v="341"/>
    <x v="2"/>
    <x v="2"/>
    <n v="43.5"/>
    <n v="18.100000000000001"/>
    <n v="202"/>
    <n v="3400"/>
    <x v="1"/>
    <n v="2009"/>
  </r>
  <r>
    <n v="342"/>
    <x v="2"/>
    <x v="2"/>
    <n v="49.6"/>
    <n v="18.2"/>
    <n v="193"/>
    <n v="3775"/>
    <x v="0"/>
    <n v="2009"/>
  </r>
  <r>
    <n v="343"/>
    <x v="2"/>
    <x v="2"/>
    <n v="50.8"/>
    <n v="19"/>
    <n v="210"/>
    <n v="4100"/>
    <x v="0"/>
    <n v="2009"/>
  </r>
  <r>
    <n v="344"/>
    <x v="2"/>
    <x v="2"/>
    <n v="50.2"/>
    <n v="18.7"/>
    <n v="198"/>
    <n v="3775"/>
    <x v="1"/>
    <n v="2009"/>
  </r>
  <r>
    <m/>
    <x v="3"/>
    <x v="3"/>
    <m/>
    <m/>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F9" firstHeaderRow="1" firstDataRow="2" firstDataCol="1" rowPageCount="1" colPageCount="1"/>
  <pivotFields count="9">
    <pivotField compact="0" outline="0" showAll="0" defaultSubtotal="0"/>
    <pivotField axis="axisRow" compact="0" outline="0" showAll="0" defaultSubtotal="0">
      <items count="4">
        <item x="0"/>
        <item x="2"/>
        <item x="1"/>
        <item x="3"/>
      </items>
    </pivotField>
    <pivotField axis="axisCol" compact="0" outline="0" showAll="0" defaultSubtotal="0">
      <items count="4">
        <item x="1"/>
        <item x="2"/>
        <item x="0"/>
        <item x="3"/>
      </items>
    </pivotField>
    <pivotField compact="0" outline="0" showAll="0" defaultSubtotal="0"/>
    <pivotField compact="0" outline="0" showAll="0" defaultSubtotal="0"/>
    <pivotField compact="0" outline="0" showAll="0" defaultSubtotal="0"/>
    <pivotField dataField="1" compact="0" outline="0" showAll="0" defaultSubtotal="0"/>
    <pivotField axis="axisPage" compact="0" outline="0" showAll="0" defaultSubtotal="0">
      <items count="3">
        <item x="1"/>
        <item x="0"/>
        <item x="2"/>
      </items>
    </pivotField>
    <pivotField compact="0" outline="0" showAll="0" defaultSubtotal="0"/>
  </pivotFields>
  <rowFields count="1">
    <field x="1"/>
  </rowFields>
  <rowItems count="5">
    <i>
      <x/>
    </i>
    <i>
      <x v="1"/>
    </i>
    <i>
      <x v="2"/>
    </i>
    <i>
      <x v="3"/>
    </i>
    <i t="grand">
      <x/>
    </i>
  </rowItems>
  <colFields count="1">
    <field x="2"/>
  </colFields>
  <colItems count="5">
    <i>
      <x/>
    </i>
    <i>
      <x v="1"/>
    </i>
    <i>
      <x v="2"/>
    </i>
    <i>
      <x v="3"/>
    </i>
    <i t="grand">
      <x/>
    </i>
  </colItems>
  <pageFields count="1">
    <pageField fld="7" hier="-1"/>
  </pageFields>
  <dataFields count="1">
    <dataField name="Count of body_mass_g" fld="6" subtotal="count" baseField="0" baseItem="0"/>
  </dataField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sland" sourceName="island">
  <pivotTables>
    <pivotTable tabId="8" name="PivotTable1"/>
  </pivotTables>
  <data>
    <tabular pivotCacheId="1">
      <items count="4">
        <i x="1" s="1"/>
        <i x="2" s="1"/>
        <i x="0"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x" sourceName="sex">
  <pivotTables>
    <pivotTable tabId="8" name="PivotTable1"/>
  </pivotTables>
  <data>
    <tabular pivotCacheId="1">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sland" cache="Slicer_island" caption="island" rowHeight="245835"/>
  <slicer name="sex" cache="Slicer_sex" caption="sex" rowHeight="24583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6"/>
  <sheetViews>
    <sheetView showGridLines="0" workbookViewId="0">
      <selection activeCell="B11" sqref="B11:B16"/>
    </sheetView>
  </sheetViews>
  <sheetFormatPr defaultRowHeight="14.6" x14ac:dyDescent="0.4"/>
  <sheetData>
    <row r="1" spans="1:2" x14ac:dyDescent="0.4">
      <c r="A1" s="1" t="s">
        <v>0</v>
      </c>
      <c r="B1" t="s">
        <v>92</v>
      </c>
    </row>
    <row r="2" spans="1:2" x14ac:dyDescent="0.4">
      <c r="A2" s="1"/>
      <c r="B2" s="2" t="s">
        <v>39</v>
      </c>
    </row>
    <row r="3" spans="1:2" x14ac:dyDescent="0.4">
      <c r="A3" s="1"/>
      <c r="B3" s="2" t="s">
        <v>37</v>
      </c>
    </row>
    <row r="4" spans="1:2" x14ac:dyDescent="0.4">
      <c r="A4" s="1"/>
      <c r="B4" s="2" t="s">
        <v>41</v>
      </c>
    </row>
    <row r="5" spans="1:2" x14ac:dyDescent="0.4">
      <c r="A5" s="1"/>
      <c r="B5" s="2" t="s">
        <v>38</v>
      </c>
    </row>
    <row r="6" spans="1:2" x14ac:dyDescent="0.4">
      <c r="A6" s="1"/>
      <c r="B6" s="2" t="s">
        <v>40</v>
      </c>
    </row>
    <row r="7" spans="1:2" x14ac:dyDescent="0.4">
      <c r="A7" s="1"/>
      <c r="B7" s="2" t="s">
        <v>42</v>
      </c>
    </row>
    <row r="8" spans="1:2" x14ac:dyDescent="0.4">
      <c r="A8" s="1"/>
      <c r="B8" s="2" t="s">
        <v>35</v>
      </c>
    </row>
    <row r="9" spans="1:2" x14ac:dyDescent="0.4">
      <c r="A9" s="1"/>
    </row>
    <row r="10" spans="1:2" x14ac:dyDescent="0.4">
      <c r="A10" s="1" t="s">
        <v>1</v>
      </c>
      <c r="B10" t="s">
        <v>60</v>
      </c>
    </row>
    <row r="11" spans="1:2" x14ac:dyDescent="0.4">
      <c r="A11" s="1"/>
      <c r="B11" s="2" t="s">
        <v>61</v>
      </c>
    </row>
    <row r="12" spans="1:2" x14ac:dyDescent="0.4">
      <c r="B12" s="2" t="s">
        <v>93</v>
      </c>
    </row>
    <row r="13" spans="1:2" x14ac:dyDescent="0.4">
      <c r="B13" s="2" t="s">
        <v>62</v>
      </c>
    </row>
    <row r="14" spans="1:2" x14ac:dyDescent="0.4">
      <c r="B14" s="2" t="s">
        <v>63</v>
      </c>
    </row>
    <row r="15" spans="1:2" x14ac:dyDescent="0.4">
      <c r="B15" s="2" t="s">
        <v>64</v>
      </c>
    </row>
    <row r="16" spans="1:2" x14ac:dyDescent="0.4">
      <c r="B16" s="2" t="s">
        <v>65</v>
      </c>
    </row>
    <row r="18" spans="1:2" x14ac:dyDescent="0.4">
      <c r="A18" s="1" t="s">
        <v>36</v>
      </c>
      <c r="B18" t="s">
        <v>84</v>
      </c>
    </row>
    <row r="19" spans="1:2" x14ac:dyDescent="0.4">
      <c r="B19" s="2" t="s">
        <v>81</v>
      </c>
    </row>
    <row r="20" spans="1:2" x14ac:dyDescent="0.4">
      <c r="B20" s="2" t="s">
        <v>82</v>
      </c>
    </row>
    <row r="21" spans="1:2" x14ac:dyDescent="0.4">
      <c r="B21" s="2" t="s">
        <v>83</v>
      </c>
    </row>
    <row r="24" spans="1:2" x14ac:dyDescent="0.4">
      <c r="A24" s="1" t="s">
        <v>94</v>
      </c>
      <c r="B24" t="s">
        <v>66</v>
      </c>
    </row>
    <row r="25" spans="1:2" x14ac:dyDescent="0.4">
      <c r="B25" s="2" t="s">
        <v>91</v>
      </c>
    </row>
    <row r="26" spans="1:2" x14ac:dyDescent="0.4">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3"/>
  <sheetViews>
    <sheetView workbookViewId="0">
      <selection activeCell="I15" sqref="I15"/>
    </sheetView>
  </sheetViews>
  <sheetFormatPr defaultRowHeight="14.6" x14ac:dyDescent="0.4"/>
  <cols>
    <col min="2" max="2" width="9.4609375" bestFit="1" customWidth="1"/>
    <col min="3" max="5" width="10.3046875" bestFit="1" customWidth="1"/>
    <col min="7" max="7" width="8.07421875" bestFit="1" customWidth="1"/>
    <col min="8" max="8" width="2.07421875" bestFit="1" customWidth="1"/>
    <col min="9" max="9" width="9" bestFit="1" customWidth="1"/>
  </cols>
  <sheetData>
    <row r="1" spans="1:11" x14ac:dyDescent="0.4">
      <c r="A1" s="3"/>
      <c r="B1" s="3"/>
      <c r="C1" s="3"/>
      <c r="D1" s="3"/>
      <c r="E1" s="3"/>
      <c r="F1" s="3"/>
      <c r="G1" s="3"/>
      <c r="H1" s="3"/>
      <c r="I1" s="3"/>
      <c r="J1" s="3"/>
      <c r="K1" s="3"/>
    </row>
    <row r="2" spans="1:11" x14ac:dyDescent="0.4">
      <c r="A2" s="3"/>
      <c r="B2" s="4" t="s">
        <v>67</v>
      </c>
      <c r="C2" s="4" t="s">
        <v>68</v>
      </c>
      <c r="D2" s="4" t="s">
        <v>69</v>
      </c>
      <c r="E2" s="4" t="s">
        <v>70</v>
      </c>
      <c r="F2" s="3"/>
      <c r="G2" s="4" t="s">
        <v>71</v>
      </c>
      <c r="H2" s="4"/>
      <c r="I2" s="4" t="s">
        <v>72</v>
      </c>
      <c r="J2" s="3"/>
      <c r="K2" s="3"/>
    </row>
    <row r="3" spans="1:11" x14ac:dyDescent="0.4">
      <c r="A3" s="3"/>
      <c r="B3" s="4" t="s">
        <v>73</v>
      </c>
      <c r="C3" s="5">
        <v>0</v>
      </c>
      <c r="D3" s="6">
        <v>0</v>
      </c>
      <c r="E3" s="7">
        <v>0</v>
      </c>
      <c r="F3" s="3"/>
      <c r="G3" s="4">
        <f>SUM(C3:E3)</f>
        <v>0</v>
      </c>
      <c r="H3" s="8" t="s">
        <v>74</v>
      </c>
      <c r="I3" s="9">
        <v>300</v>
      </c>
      <c r="J3" s="3"/>
      <c r="K3" s="3"/>
    </row>
    <row r="4" spans="1:11" x14ac:dyDescent="0.4">
      <c r="A4" s="3"/>
      <c r="B4" s="4" t="s">
        <v>75</v>
      </c>
      <c r="C4" s="10">
        <v>0</v>
      </c>
      <c r="D4" s="11">
        <v>0</v>
      </c>
      <c r="E4" s="12">
        <v>0</v>
      </c>
      <c r="F4" s="3"/>
      <c r="G4" s="4">
        <f>SUM(C4:E4)</f>
        <v>0</v>
      </c>
      <c r="H4" s="8" t="s">
        <v>74</v>
      </c>
      <c r="I4" s="13">
        <v>200</v>
      </c>
      <c r="J4" s="3"/>
      <c r="K4" s="3"/>
    </row>
    <row r="5" spans="1:11" x14ac:dyDescent="0.4">
      <c r="A5" s="3"/>
      <c r="B5" s="4" t="s">
        <v>76</v>
      </c>
      <c r="C5" s="14">
        <v>0</v>
      </c>
      <c r="D5" s="15">
        <v>0</v>
      </c>
      <c r="E5" s="16">
        <v>0</v>
      </c>
      <c r="F5" s="3"/>
      <c r="G5" s="4">
        <f>SUM(C5:E5)</f>
        <v>0</v>
      </c>
      <c r="H5" s="8" t="s">
        <v>74</v>
      </c>
      <c r="I5" s="17">
        <v>100</v>
      </c>
      <c r="J5" s="3"/>
      <c r="K5" s="3"/>
    </row>
    <row r="6" spans="1:11" x14ac:dyDescent="0.4">
      <c r="A6" s="3"/>
      <c r="B6" s="3"/>
      <c r="C6" s="3"/>
      <c r="D6" s="3"/>
      <c r="E6" s="3"/>
      <c r="F6" s="3"/>
      <c r="G6" s="3"/>
      <c r="H6" s="3"/>
      <c r="I6" s="3"/>
      <c r="J6" s="3"/>
      <c r="K6" s="3"/>
    </row>
    <row r="7" spans="1:11" x14ac:dyDescent="0.4">
      <c r="A7" s="3"/>
      <c r="B7" s="4" t="s">
        <v>77</v>
      </c>
      <c r="C7" s="4" t="s">
        <v>68</v>
      </c>
      <c r="D7" s="4" t="s">
        <v>69</v>
      </c>
      <c r="E7" s="4" t="s">
        <v>70</v>
      </c>
      <c r="F7" s="3"/>
      <c r="G7" s="3"/>
      <c r="H7" s="3"/>
      <c r="I7" s="3"/>
      <c r="J7" s="3"/>
      <c r="K7" s="3"/>
    </row>
    <row r="8" spans="1:11" x14ac:dyDescent="0.4">
      <c r="A8" s="3"/>
      <c r="B8" s="4" t="s">
        <v>73</v>
      </c>
      <c r="C8" s="18">
        <v>60</v>
      </c>
      <c r="D8" s="19">
        <v>47</v>
      </c>
      <c r="E8" s="20">
        <v>80</v>
      </c>
      <c r="F8" s="3"/>
      <c r="G8" s="3"/>
      <c r="H8" s="3"/>
      <c r="I8" s="3"/>
      <c r="J8" s="3"/>
      <c r="K8" s="3"/>
    </row>
    <row r="9" spans="1:11" x14ac:dyDescent="0.4">
      <c r="A9" s="3"/>
      <c r="B9" s="4" t="s">
        <v>75</v>
      </c>
      <c r="C9" s="21">
        <v>52</v>
      </c>
      <c r="D9" s="22">
        <v>36</v>
      </c>
      <c r="E9" s="23">
        <v>58</v>
      </c>
      <c r="F9" s="3"/>
      <c r="G9" s="3"/>
      <c r="H9" s="3"/>
      <c r="I9" s="3"/>
      <c r="J9" s="3"/>
      <c r="K9" s="3"/>
    </row>
    <row r="10" spans="1:11" x14ac:dyDescent="0.4">
      <c r="A10" s="3"/>
      <c r="B10" s="4" t="s">
        <v>76</v>
      </c>
      <c r="C10" s="24">
        <v>24</v>
      </c>
      <c r="D10" s="25">
        <v>31</v>
      </c>
      <c r="E10" s="26">
        <v>50</v>
      </c>
      <c r="F10" s="3"/>
      <c r="G10" s="3"/>
      <c r="H10" s="3"/>
      <c r="I10" s="3"/>
      <c r="J10" s="3"/>
      <c r="K10" s="3"/>
    </row>
    <row r="11" spans="1:11" x14ac:dyDescent="0.4">
      <c r="A11" s="3"/>
      <c r="B11" s="3"/>
      <c r="C11" s="3"/>
      <c r="D11" s="3"/>
      <c r="E11" s="3"/>
      <c r="F11" s="3"/>
      <c r="G11" s="3"/>
      <c r="H11" s="3"/>
      <c r="I11" s="3"/>
      <c r="J11" s="3"/>
      <c r="K11" s="3"/>
    </row>
    <row r="12" spans="1:11" x14ac:dyDescent="0.4">
      <c r="A12" s="3"/>
      <c r="B12" s="3"/>
      <c r="C12" s="3"/>
      <c r="D12" s="3"/>
      <c r="E12" s="3"/>
      <c r="F12" s="3"/>
      <c r="G12" s="3"/>
      <c r="H12" s="3"/>
      <c r="I12" s="3"/>
      <c r="J12" s="3"/>
      <c r="K12" s="3"/>
    </row>
    <row r="13" spans="1:11" x14ac:dyDescent="0.4">
      <c r="A13" s="3"/>
      <c r="B13" s="4" t="s">
        <v>78</v>
      </c>
      <c r="C13" s="4">
        <f>SUM(C3:C5)</f>
        <v>0</v>
      </c>
      <c r="D13" s="4">
        <f>SUM(D3:D5)</f>
        <v>0</v>
      </c>
      <c r="E13" s="4">
        <f>SUM(E3:E5)</f>
        <v>0</v>
      </c>
      <c r="F13" s="3"/>
      <c r="G13" s="3"/>
      <c r="H13" s="3"/>
      <c r="I13" s="3"/>
      <c r="J13" s="3"/>
      <c r="K13" s="3"/>
    </row>
    <row r="14" spans="1:11" x14ac:dyDescent="0.4">
      <c r="A14" s="3"/>
      <c r="B14" s="4"/>
      <c r="C14" s="8" t="s">
        <v>74</v>
      </c>
      <c r="D14" s="8" t="s">
        <v>74</v>
      </c>
      <c r="E14" s="8" t="s">
        <v>74</v>
      </c>
      <c r="F14" s="3"/>
      <c r="G14" s="3"/>
      <c r="H14" s="3"/>
      <c r="I14" s="4" t="s">
        <v>79</v>
      </c>
      <c r="J14" s="3"/>
      <c r="K14" s="3"/>
    </row>
    <row r="15" spans="1:11" x14ac:dyDescent="0.4">
      <c r="A15" s="3"/>
      <c r="B15" s="4" t="s">
        <v>80</v>
      </c>
      <c r="C15" s="27">
        <v>200</v>
      </c>
      <c r="D15" s="28">
        <v>200</v>
      </c>
      <c r="E15" s="29">
        <v>200</v>
      </c>
      <c r="F15" s="3"/>
      <c r="G15" s="3"/>
      <c r="H15" s="3"/>
      <c r="I15" s="30">
        <f>SUMPRODUCT(UnitCost,Shipments)</f>
        <v>0</v>
      </c>
      <c r="J15" s="3"/>
      <c r="K15" s="3"/>
    </row>
    <row r="16" spans="1:11" x14ac:dyDescent="0.4">
      <c r="A16" s="3"/>
      <c r="B16" s="3"/>
      <c r="C16" s="3"/>
      <c r="D16" s="3"/>
      <c r="E16" s="3"/>
      <c r="F16" s="3"/>
      <c r="G16" s="3"/>
      <c r="H16" s="3"/>
      <c r="I16" s="3"/>
      <c r="J16" s="3"/>
      <c r="K16" s="3"/>
    </row>
    <row r="17" spans="1:11" x14ac:dyDescent="0.4">
      <c r="A17" s="3"/>
      <c r="B17" s="3"/>
      <c r="C17" s="3"/>
      <c r="D17" s="3"/>
      <c r="E17" s="3"/>
      <c r="F17" s="3"/>
      <c r="G17" s="3"/>
      <c r="H17" s="3"/>
      <c r="I17" s="3"/>
      <c r="J17" s="3"/>
      <c r="K17" s="3"/>
    </row>
    <row r="18" spans="1:11" x14ac:dyDescent="0.4">
      <c r="A18" s="3"/>
      <c r="B18" s="3"/>
      <c r="C18" s="3"/>
      <c r="D18" s="3"/>
      <c r="E18" s="3"/>
      <c r="F18" s="3"/>
      <c r="G18" s="3"/>
      <c r="H18" s="3"/>
      <c r="I18" s="3"/>
      <c r="J18" s="3"/>
      <c r="K18" s="3"/>
    </row>
    <row r="19" spans="1:11" x14ac:dyDescent="0.4">
      <c r="A19" s="3"/>
      <c r="B19" s="3"/>
      <c r="C19" s="3"/>
      <c r="D19" s="3"/>
      <c r="E19" s="3"/>
      <c r="F19" s="3"/>
      <c r="G19" s="3"/>
      <c r="H19" s="3"/>
      <c r="I19" s="3"/>
      <c r="J19" s="3"/>
      <c r="K19" s="3"/>
    </row>
    <row r="20" spans="1:11" x14ac:dyDescent="0.4">
      <c r="A20" s="3"/>
      <c r="B20" s="3"/>
      <c r="C20" s="3"/>
      <c r="D20" s="3"/>
      <c r="E20" s="3"/>
      <c r="F20" s="3"/>
      <c r="G20" s="3"/>
      <c r="H20" s="3"/>
      <c r="I20" s="3"/>
      <c r="J20" s="3"/>
      <c r="K20" s="3"/>
    </row>
    <row r="21" spans="1:11" x14ac:dyDescent="0.4">
      <c r="A21" s="3"/>
      <c r="B21" s="3"/>
      <c r="C21" s="3"/>
      <c r="D21" s="3"/>
      <c r="E21" s="3"/>
      <c r="F21" s="3"/>
      <c r="G21" s="3"/>
      <c r="H21" s="3"/>
      <c r="I21" s="3"/>
      <c r="J21" s="3"/>
      <c r="K21" s="3"/>
    </row>
    <row r="22" spans="1:11" x14ac:dyDescent="0.4">
      <c r="A22" s="3"/>
      <c r="B22" s="3"/>
      <c r="C22" s="3"/>
      <c r="D22" s="3"/>
      <c r="E22" s="3"/>
      <c r="F22" s="3"/>
      <c r="G22" s="3"/>
      <c r="H22" s="3"/>
      <c r="I22" s="3"/>
      <c r="J22" s="3"/>
      <c r="K22" s="3"/>
    </row>
    <row r="23" spans="1:11" x14ac:dyDescent="0.4">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0"/>
  <sheetViews>
    <sheetView workbookViewId="0">
      <selection activeCell="C4" sqref="C4"/>
    </sheetView>
  </sheetViews>
  <sheetFormatPr defaultRowHeight="14.6" x14ac:dyDescent="0.4"/>
  <cols>
    <col min="2" max="2" width="18.53515625" bestFit="1" customWidth="1"/>
  </cols>
  <sheetData>
    <row r="2" spans="2:3" x14ac:dyDescent="0.4">
      <c r="B2" t="s">
        <v>85</v>
      </c>
      <c r="C2">
        <v>20</v>
      </c>
    </row>
    <row r="3" spans="2:3" ht="15" thickBot="1" x14ac:dyDescent="0.45">
      <c r="B3" t="s">
        <v>86</v>
      </c>
      <c r="C3">
        <v>0</v>
      </c>
    </row>
    <row r="4" spans="2:3" ht="15" thickBot="1" x14ac:dyDescent="0.45">
      <c r="B4" s="31" t="s">
        <v>87</v>
      </c>
      <c r="C4" s="31">
        <f>C3*C2</f>
        <v>0</v>
      </c>
    </row>
    <row r="6" spans="2:3" x14ac:dyDescent="0.4">
      <c r="B6" t="s">
        <v>88</v>
      </c>
      <c r="C6">
        <v>50</v>
      </c>
    </row>
    <row r="7" spans="2:3" ht="15" thickBot="1" x14ac:dyDescent="0.45">
      <c r="B7" t="s">
        <v>89</v>
      </c>
      <c r="C7">
        <v>1.2</v>
      </c>
    </row>
    <row r="8" spans="2:3" ht="15" thickBot="1" x14ac:dyDescent="0.45">
      <c r="B8" s="31" t="s">
        <v>87</v>
      </c>
      <c r="C8" s="31">
        <f>C7*C6</f>
        <v>60</v>
      </c>
    </row>
    <row r="9" spans="2:3" ht="15" thickBot="1" x14ac:dyDescent="0.45"/>
    <row r="10" spans="2:3" ht="15" thickBot="1" x14ac:dyDescent="0.45">
      <c r="B10" s="31" t="s">
        <v>90</v>
      </c>
      <c r="C10" s="31">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
  <sheetViews>
    <sheetView tabSelected="1" workbookViewId="0">
      <selection activeCell="E6" sqref="E6"/>
    </sheetView>
  </sheetViews>
  <sheetFormatPr defaultRowHeight="14.6" x14ac:dyDescent="0.4"/>
  <cols>
    <col min="1" max="1" width="19.84375" bestFit="1" customWidth="1"/>
    <col min="2" max="3" width="9.07421875" bestFit="1" customWidth="1"/>
    <col min="4" max="4" width="9.07421875" customWidth="1"/>
    <col min="5" max="5" width="9.07421875" bestFit="1" customWidth="1"/>
    <col min="6" max="6" width="10.69140625" bestFit="1" customWidth="1"/>
  </cols>
  <sheetData>
    <row r="1" spans="1:6" x14ac:dyDescent="0.4">
      <c r="A1" s="33" t="s">
        <v>50</v>
      </c>
      <c r="B1" t="s">
        <v>112</v>
      </c>
    </row>
    <row r="3" spans="1:6" x14ac:dyDescent="0.4">
      <c r="A3" s="33" t="s">
        <v>111</v>
      </c>
      <c r="B3" s="33" t="s">
        <v>45</v>
      </c>
    </row>
    <row r="4" spans="1:6" x14ac:dyDescent="0.4">
      <c r="A4" s="33" t="s">
        <v>44</v>
      </c>
      <c r="B4" t="s">
        <v>56</v>
      </c>
      <c r="C4" t="s">
        <v>57</v>
      </c>
      <c r="D4" t="s">
        <v>53</v>
      </c>
      <c r="E4" t="s">
        <v>109</v>
      </c>
      <c r="F4" t="s">
        <v>110</v>
      </c>
    </row>
    <row r="5" spans="1:6" x14ac:dyDescent="0.4">
      <c r="A5" t="s">
        <v>52</v>
      </c>
      <c r="B5" s="34">
        <v>44</v>
      </c>
      <c r="C5" s="34">
        <v>55</v>
      </c>
      <c r="D5" s="34">
        <v>47</v>
      </c>
      <c r="E5" s="34"/>
      <c r="F5" s="34">
        <v>146</v>
      </c>
    </row>
    <row r="6" spans="1:6" x14ac:dyDescent="0.4">
      <c r="A6" t="s">
        <v>59</v>
      </c>
      <c r="B6" s="34"/>
      <c r="C6" s="34">
        <v>68</v>
      </c>
      <c r="D6" s="34"/>
      <c r="E6" s="34"/>
      <c r="F6" s="34">
        <v>68</v>
      </c>
    </row>
    <row r="7" spans="1:6" x14ac:dyDescent="0.4">
      <c r="A7" t="s">
        <v>58</v>
      </c>
      <c r="B7" s="34">
        <v>119</v>
      </c>
      <c r="C7" s="34"/>
      <c r="D7" s="34"/>
      <c r="E7" s="34"/>
      <c r="F7" s="34">
        <v>119</v>
      </c>
    </row>
    <row r="8" spans="1:6" x14ac:dyDescent="0.4">
      <c r="A8" t="s">
        <v>109</v>
      </c>
      <c r="B8" s="34"/>
      <c r="C8" s="34"/>
      <c r="D8" s="34"/>
      <c r="E8" s="34"/>
      <c r="F8" s="34"/>
    </row>
    <row r="9" spans="1:6" x14ac:dyDescent="0.4">
      <c r="A9" t="s">
        <v>110</v>
      </c>
      <c r="B9" s="34">
        <v>163</v>
      </c>
      <c r="C9" s="34">
        <v>123</v>
      </c>
      <c r="D9" s="34">
        <v>47</v>
      </c>
      <c r="E9" s="34"/>
      <c r="F9" s="34">
        <v>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4"/>
  <sheetViews>
    <sheetView workbookViewId="0">
      <selection sqref="A1:XFD1048576"/>
    </sheetView>
  </sheetViews>
  <sheetFormatPr defaultRowHeight="14.6" x14ac:dyDescent="0.4"/>
  <cols>
    <col min="1" max="1" width="4" bestFit="1" customWidth="1"/>
    <col min="2" max="2" width="8.69140625" bestFit="1" customWidth="1"/>
    <col min="3" max="3" width="9.07421875" bestFit="1" customWidth="1"/>
    <col min="4" max="4" width="13.53515625" bestFit="1" customWidth="1"/>
    <col min="5" max="5" width="13.23046875" bestFit="1" customWidth="1"/>
    <col min="6" max="6" width="16.4609375" bestFit="1" customWidth="1"/>
    <col min="7" max="7" width="12" bestFit="1" customWidth="1"/>
    <col min="8" max="8" width="6.69140625" bestFit="1" customWidth="1"/>
    <col min="9" max="9" width="5" bestFit="1" customWidth="1"/>
    <col min="10" max="10" width="4" bestFit="1" customWidth="1"/>
    <col min="11" max="11" width="10.765625" bestFit="1" customWidth="1"/>
  </cols>
  <sheetData>
    <row r="1" spans="1:9" s="32" customFormat="1" x14ac:dyDescent="0.4">
      <c r="A1" s="32" t="s">
        <v>43</v>
      </c>
      <c r="B1" s="32" t="s">
        <v>44</v>
      </c>
      <c r="C1" s="32" t="s">
        <v>45</v>
      </c>
      <c r="D1" s="32" t="s">
        <v>46</v>
      </c>
      <c r="E1" s="32" t="s">
        <v>47</v>
      </c>
      <c r="F1" s="32" t="s">
        <v>48</v>
      </c>
      <c r="G1" s="32" t="s">
        <v>49</v>
      </c>
      <c r="H1" s="32" t="s">
        <v>50</v>
      </c>
      <c r="I1" s="32" t="s">
        <v>51</v>
      </c>
    </row>
    <row r="2" spans="1:9" x14ac:dyDescent="0.4">
      <c r="A2">
        <v>1</v>
      </c>
      <c r="B2" t="s">
        <v>52</v>
      </c>
      <c r="C2" t="s">
        <v>53</v>
      </c>
      <c r="D2">
        <v>39.1</v>
      </c>
      <c r="E2">
        <v>18.7</v>
      </c>
      <c r="F2">
        <v>181</v>
      </c>
      <c r="G2">
        <v>3750</v>
      </c>
      <c r="H2" t="s">
        <v>54</v>
      </c>
      <c r="I2">
        <v>2007</v>
      </c>
    </row>
    <row r="3" spans="1:9" x14ac:dyDescent="0.4">
      <c r="A3">
        <v>2</v>
      </c>
      <c r="B3" t="s">
        <v>52</v>
      </c>
      <c r="C3" t="s">
        <v>53</v>
      </c>
      <c r="D3">
        <v>39.5</v>
      </c>
      <c r="E3">
        <v>17.399999999999999</v>
      </c>
      <c r="F3">
        <v>186</v>
      </c>
      <c r="G3">
        <v>3800</v>
      </c>
      <c r="H3" t="s">
        <v>55</v>
      </c>
      <c r="I3">
        <v>2007</v>
      </c>
    </row>
    <row r="4" spans="1:9" x14ac:dyDescent="0.4">
      <c r="A4">
        <v>3</v>
      </c>
      <c r="B4" t="s">
        <v>52</v>
      </c>
      <c r="C4" t="s">
        <v>53</v>
      </c>
      <c r="D4">
        <v>40.299999999999997</v>
      </c>
      <c r="E4">
        <v>18</v>
      </c>
      <c r="F4">
        <v>195</v>
      </c>
      <c r="G4">
        <v>3250</v>
      </c>
      <c r="H4" t="s">
        <v>55</v>
      </c>
      <c r="I4">
        <v>2007</v>
      </c>
    </row>
    <row r="5" spans="1:9" x14ac:dyDescent="0.4">
      <c r="A5">
        <v>5</v>
      </c>
      <c r="B5" t="s">
        <v>52</v>
      </c>
      <c r="C5" t="s">
        <v>53</v>
      </c>
      <c r="D5">
        <v>36.700000000000003</v>
      </c>
      <c r="E5">
        <v>19.3</v>
      </c>
      <c r="F5">
        <v>193</v>
      </c>
      <c r="G5">
        <v>3450</v>
      </c>
      <c r="H5" t="s">
        <v>55</v>
      </c>
      <c r="I5">
        <v>2007</v>
      </c>
    </row>
    <row r="6" spans="1:9" x14ac:dyDescent="0.4">
      <c r="A6">
        <v>6</v>
      </c>
      <c r="B6" t="s">
        <v>52</v>
      </c>
      <c r="C6" t="s">
        <v>53</v>
      </c>
      <c r="D6">
        <v>39.299999999999997</v>
      </c>
      <c r="E6">
        <v>20.6</v>
      </c>
      <c r="F6">
        <v>190</v>
      </c>
      <c r="G6">
        <v>3650</v>
      </c>
      <c r="H6" t="s">
        <v>54</v>
      </c>
      <c r="I6">
        <v>2007</v>
      </c>
    </row>
    <row r="7" spans="1:9" x14ac:dyDescent="0.4">
      <c r="A7">
        <v>7</v>
      </c>
      <c r="B7" t="s">
        <v>52</v>
      </c>
      <c r="C7" t="s">
        <v>53</v>
      </c>
      <c r="D7">
        <v>38.9</v>
      </c>
      <c r="E7">
        <v>17.8</v>
      </c>
      <c r="F7">
        <v>181</v>
      </c>
      <c r="G7">
        <v>3625</v>
      </c>
      <c r="H7" t="s">
        <v>55</v>
      </c>
      <c r="I7">
        <v>2007</v>
      </c>
    </row>
    <row r="8" spans="1:9" x14ac:dyDescent="0.4">
      <c r="A8">
        <v>8</v>
      </c>
      <c r="B8" t="s">
        <v>52</v>
      </c>
      <c r="C8" t="s">
        <v>53</v>
      </c>
      <c r="D8">
        <v>39.200000000000003</v>
      </c>
      <c r="E8">
        <v>19.600000000000001</v>
      </c>
      <c r="F8">
        <v>195</v>
      </c>
      <c r="G8">
        <v>4675</v>
      </c>
      <c r="H8" t="s">
        <v>54</v>
      </c>
      <c r="I8">
        <v>2007</v>
      </c>
    </row>
    <row r="9" spans="1:9" x14ac:dyDescent="0.4">
      <c r="A9">
        <v>13</v>
      </c>
      <c r="B9" t="s">
        <v>52</v>
      </c>
      <c r="C9" t="s">
        <v>53</v>
      </c>
      <c r="D9">
        <v>41.1</v>
      </c>
      <c r="E9">
        <v>17.600000000000001</v>
      </c>
      <c r="F9">
        <v>182</v>
      </c>
      <c r="G9">
        <v>3200</v>
      </c>
      <c r="H9" t="s">
        <v>55</v>
      </c>
      <c r="I9">
        <v>2007</v>
      </c>
    </row>
    <row r="10" spans="1:9" x14ac:dyDescent="0.4">
      <c r="A10">
        <v>14</v>
      </c>
      <c r="B10" t="s">
        <v>52</v>
      </c>
      <c r="C10" t="s">
        <v>53</v>
      </c>
      <c r="D10">
        <v>38.6</v>
      </c>
      <c r="E10">
        <v>21.2</v>
      </c>
      <c r="F10">
        <v>191</v>
      </c>
      <c r="G10">
        <v>3800</v>
      </c>
      <c r="H10" t="s">
        <v>54</v>
      </c>
      <c r="I10">
        <v>2007</v>
      </c>
    </row>
    <row r="11" spans="1:9" x14ac:dyDescent="0.4">
      <c r="A11">
        <v>15</v>
      </c>
      <c r="B11" t="s">
        <v>52</v>
      </c>
      <c r="C11" t="s">
        <v>53</v>
      </c>
      <c r="D11">
        <v>34.6</v>
      </c>
      <c r="E11">
        <v>21.1</v>
      </c>
      <c r="F11">
        <v>198</v>
      </c>
      <c r="G11">
        <v>4400</v>
      </c>
      <c r="H11" t="s">
        <v>54</v>
      </c>
      <c r="I11">
        <v>2007</v>
      </c>
    </row>
    <row r="12" spans="1:9" x14ac:dyDescent="0.4">
      <c r="A12">
        <v>16</v>
      </c>
      <c r="B12" t="s">
        <v>52</v>
      </c>
      <c r="C12" t="s">
        <v>53</v>
      </c>
      <c r="D12">
        <v>36.6</v>
      </c>
      <c r="E12">
        <v>17.8</v>
      </c>
      <c r="F12">
        <v>185</v>
      </c>
      <c r="G12">
        <v>3700</v>
      </c>
      <c r="H12" t="s">
        <v>55</v>
      </c>
      <c r="I12">
        <v>2007</v>
      </c>
    </row>
    <row r="13" spans="1:9" x14ac:dyDescent="0.4">
      <c r="A13">
        <v>17</v>
      </c>
      <c r="B13" t="s">
        <v>52</v>
      </c>
      <c r="C13" t="s">
        <v>53</v>
      </c>
      <c r="D13">
        <v>38.700000000000003</v>
      </c>
      <c r="E13">
        <v>19</v>
      </c>
      <c r="F13">
        <v>195</v>
      </c>
      <c r="G13">
        <v>3450</v>
      </c>
      <c r="H13" t="s">
        <v>55</v>
      </c>
      <c r="I13">
        <v>2007</v>
      </c>
    </row>
    <row r="14" spans="1:9" x14ac:dyDescent="0.4">
      <c r="A14">
        <v>18</v>
      </c>
      <c r="B14" t="s">
        <v>52</v>
      </c>
      <c r="C14" t="s">
        <v>53</v>
      </c>
      <c r="D14">
        <v>42.5</v>
      </c>
      <c r="E14">
        <v>20.7</v>
      </c>
      <c r="F14">
        <v>197</v>
      </c>
      <c r="G14">
        <v>4500</v>
      </c>
      <c r="H14" t="s">
        <v>54</v>
      </c>
      <c r="I14">
        <v>2007</v>
      </c>
    </row>
    <row r="15" spans="1:9" x14ac:dyDescent="0.4">
      <c r="A15">
        <v>19</v>
      </c>
      <c r="B15" t="s">
        <v>52</v>
      </c>
      <c r="C15" t="s">
        <v>53</v>
      </c>
      <c r="D15">
        <v>34.4</v>
      </c>
      <c r="E15">
        <v>18.399999999999999</v>
      </c>
      <c r="F15">
        <v>184</v>
      </c>
      <c r="G15">
        <v>3325</v>
      </c>
      <c r="H15" t="s">
        <v>55</v>
      </c>
      <c r="I15">
        <v>2007</v>
      </c>
    </row>
    <row r="16" spans="1:9" x14ac:dyDescent="0.4">
      <c r="A16">
        <v>20</v>
      </c>
      <c r="B16" t="s">
        <v>52</v>
      </c>
      <c r="C16" t="s">
        <v>53</v>
      </c>
      <c r="D16">
        <v>46</v>
      </c>
      <c r="E16">
        <v>21.5</v>
      </c>
      <c r="F16">
        <v>194</v>
      </c>
      <c r="G16">
        <v>4200</v>
      </c>
      <c r="H16" t="s">
        <v>54</v>
      </c>
      <c r="I16">
        <v>2007</v>
      </c>
    </row>
    <row r="17" spans="1:9" x14ac:dyDescent="0.4">
      <c r="A17">
        <v>21</v>
      </c>
      <c r="B17" t="s">
        <v>52</v>
      </c>
      <c r="C17" t="s">
        <v>56</v>
      </c>
      <c r="D17">
        <v>37.799999999999997</v>
      </c>
      <c r="E17">
        <v>18.3</v>
      </c>
      <c r="F17">
        <v>174</v>
      </c>
      <c r="G17">
        <v>3400</v>
      </c>
      <c r="H17" t="s">
        <v>55</v>
      </c>
      <c r="I17">
        <v>2007</v>
      </c>
    </row>
    <row r="18" spans="1:9" x14ac:dyDescent="0.4">
      <c r="A18">
        <v>22</v>
      </c>
      <c r="B18" t="s">
        <v>52</v>
      </c>
      <c r="C18" t="s">
        <v>56</v>
      </c>
      <c r="D18">
        <v>37.700000000000003</v>
      </c>
      <c r="E18">
        <v>18.7</v>
      </c>
      <c r="F18">
        <v>180</v>
      </c>
      <c r="G18">
        <v>3600</v>
      </c>
      <c r="H18" t="s">
        <v>54</v>
      </c>
      <c r="I18">
        <v>2007</v>
      </c>
    </row>
    <row r="19" spans="1:9" x14ac:dyDescent="0.4">
      <c r="A19">
        <v>23</v>
      </c>
      <c r="B19" t="s">
        <v>52</v>
      </c>
      <c r="C19" t="s">
        <v>56</v>
      </c>
      <c r="D19">
        <v>35.9</v>
      </c>
      <c r="E19">
        <v>19.2</v>
      </c>
      <c r="F19">
        <v>189</v>
      </c>
      <c r="G19">
        <v>3800</v>
      </c>
      <c r="H19" t="s">
        <v>55</v>
      </c>
      <c r="I19">
        <v>2007</v>
      </c>
    </row>
    <row r="20" spans="1:9" x14ac:dyDescent="0.4">
      <c r="A20">
        <v>24</v>
      </c>
      <c r="B20" t="s">
        <v>52</v>
      </c>
      <c r="C20" t="s">
        <v>56</v>
      </c>
      <c r="D20">
        <v>38.200000000000003</v>
      </c>
      <c r="E20">
        <v>18.100000000000001</v>
      </c>
      <c r="F20">
        <v>185</v>
      </c>
      <c r="G20">
        <v>3950</v>
      </c>
      <c r="H20" t="s">
        <v>54</v>
      </c>
      <c r="I20">
        <v>2007</v>
      </c>
    </row>
    <row r="21" spans="1:9" x14ac:dyDescent="0.4">
      <c r="A21">
        <v>25</v>
      </c>
      <c r="B21" t="s">
        <v>52</v>
      </c>
      <c r="C21" t="s">
        <v>56</v>
      </c>
      <c r="D21">
        <v>38.799999999999997</v>
      </c>
      <c r="E21">
        <v>17.2</v>
      </c>
      <c r="F21">
        <v>180</v>
      </c>
      <c r="G21">
        <v>3800</v>
      </c>
      <c r="H21" t="s">
        <v>54</v>
      </c>
      <c r="I21">
        <v>2007</v>
      </c>
    </row>
    <row r="22" spans="1:9" x14ac:dyDescent="0.4">
      <c r="A22">
        <v>26</v>
      </c>
      <c r="B22" t="s">
        <v>52</v>
      </c>
      <c r="C22" t="s">
        <v>56</v>
      </c>
      <c r="D22">
        <v>35.299999999999997</v>
      </c>
      <c r="E22">
        <v>18.899999999999999</v>
      </c>
      <c r="F22">
        <v>187</v>
      </c>
      <c r="G22">
        <v>3800</v>
      </c>
      <c r="H22" t="s">
        <v>55</v>
      </c>
      <c r="I22">
        <v>2007</v>
      </c>
    </row>
    <row r="23" spans="1:9" x14ac:dyDescent="0.4">
      <c r="A23">
        <v>27</v>
      </c>
      <c r="B23" t="s">
        <v>52</v>
      </c>
      <c r="C23" t="s">
        <v>56</v>
      </c>
      <c r="D23">
        <v>40.6</v>
      </c>
      <c r="E23">
        <v>18.600000000000001</v>
      </c>
      <c r="F23">
        <v>183</v>
      </c>
      <c r="G23">
        <v>3550</v>
      </c>
      <c r="H23" t="s">
        <v>54</v>
      </c>
      <c r="I23">
        <v>2007</v>
      </c>
    </row>
    <row r="24" spans="1:9" x14ac:dyDescent="0.4">
      <c r="A24">
        <v>28</v>
      </c>
      <c r="B24" t="s">
        <v>52</v>
      </c>
      <c r="C24" t="s">
        <v>56</v>
      </c>
      <c r="D24">
        <v>40.5</v>
      </c>
      <c r="E24">
        <v>17.899999999999999</v>
      </c>
      <c r="F24">
        <v>187</v>
      </c>
      <c r="G24">
        <v>3200</v>
      </c>
      <c r="H24" t="s">
        <v>55</v>
      </c>
      <c r="I24">
        <v>2007</v>
      </c>
    </row>
    <row r="25" spans="1:9" x14ac:dyDescent="0.4">
      <c r="A25">
        <v>29</v>
      </c>
      <c r="B25" t="s">
        <v>52</v>
      </c>
      <c r="C25" t="s">
        <v>56</v>
      </c>
      <c r="D25">
        <v>37.9</v>
      </c>
      <c r="E25">
        <v>18.600000000000001</v>
      </c>
      <c r="F25">
        <v>172</v>
      </c>
      <c r="G25">
        <v>3150</v>
      </c>
      <c r="H25" t="s">
        <v>55</v>
      </c>
      <c r="I25">
        <v>2007</v>
      </c>
    </row>
    <row r="26" spans="1:9" x14ac:dyDescent="0.4">
      <c r="A26">
        <v>30</v>
      </c>
      <c r="B26" t="s">
        <v>52</v>
      </c>
      <c r="C26" t="s">
        <v>56</v>
      </c>
      <c r="D26">
        <v>40.5</v>
      </c>
      <c r="E26">
        <v>18.899999999999999</v>
      </c>
      <c r="F26">
        <v>180</v>
      </c>
      <c r="G26">
        <v>3950</v>
      </c>
      <c r="H26" t="s">
        <v>54</v>
      </c>
      <c r="I26">
        <v>2007</v>
      </c>
    </row>
    <row r="27" spans="1:9" x14ac:dyDescent="0.4">
      <c r="A27">
        <v>31</v>
      </c>
      <c r="B27" t="s">
        <v>52</v>
      </c>
      <c r="C27" t="s">
        <v>57</v>
      </c>
      <c r="D27">
        <v>39.5</v>
      </c>
      <c r="E27">
        <v>16.7</v>
      </c>
      <c r="F27">
        <v>178</v>
      </c>
      <c r="G27">
        <v>3250</v>
      </c>
      <c r="H27" t="s">
        <v>55</v>
      </c>
      <c r="I27">
        <v>2007</v>
      </c>
    </row>
    <row r="28" spans="1:9" x14ac:dyDescent="0.4">
      <c r="A28">
        <v>32</v>
      </c>
      <c r="B28" t="s">
        <v>52</v>
      </c>
      <c r="C28" t="s">
        <v>57</v>
      </c>
      <c r="D28">
        <v>37.200000000000003</v>
      </c>
      <c r="E28">
        <v>18.100000000000001</v>
      </c>
      <c r="F28">
        <v>178</v>
      </c>
      <c r="G28">
        <v>3900</v>
      </c>
      <c r="H28" t="s">
        <v>54</v>
      </c>
      <c r="I28">
        <v>2007</v>
      </c>
    </row>
    <row r="29" spans="1:9" x14ac:dyDescent="0.4">
      <c r="A29">
        <v>33</v>
      </c>
      <c r="B29" t="s">
        <v>52</v>
      </c>
      <c r="C29" t="s">
        <v>57</v>
      </c>
      <c r="D29">
        <v>39.5</v>
      </c>
      <c r="E29">
        <v>17.8</v>
      </c>
      <c r="F29">
        <v>188</v>
      </c>
      <c r="G29">
        <v>3300</v>
      </c>
      <c r="H29" t="s">
        <v>55</v>
      </c>
      <c r="I29">
        <v>2007</v>
      </c>
    </row>
    <row r="30" spans="1:9" x14ac:dyDescent="0.4">
      <c r="A30">
        <v>34</v>
      </c>
      <c r="B30" t="s">
        <v>52</v>
      </c>
      <c r="C30" t="s">
        <v>57</v>
      </c>
      <c r="D30">
        <v>40.9</v>
      </c>
      <c r="E30">
        <v>18.899999999999999</v>
      </c>
      <c r="F30">
        <v>184</v>
      </c>
      <c r="G30">
        <v>3900</v>
      </c>
      <c r="H30" t="s">
        <v>54</v>
      </c>
      <c r="I30">
        <v>2007</v>
      </c>
    </row>
    <row r="31" spans="1:9" x14ac:dyDescent="0.4">
      <c r="A31">
        <v>35</v>
      </c>
      <c r="B31" t="s">
        <v>52</v>
      </c>
      <c r="C31" t="s">
        <v>57</v>
      </c>
      <c r="D31">
        <v>36.4</v>
      </c>
      <c r="E31">
        <v>17</v>
      </c>
      <c r="F31">
        <v>195</v>
      </c>
      <c r="G31">
        <v>3325</v>
      </c>
      <c r="H31" t="s">
        <v>55</v>
      </c>
      <c r="I31">
        <v>2007</v>
      </c>
    </row>
    <row r="32" spans="1:9" x14ac:dyDescent="0.4">
      <c r="A32">
        <v>36</v>
      </c>
      <c r="B32" t="s">
        <v>52</v>
      </c>
      <c r="C32" t="s">
        <v>57</v>
      </c>
      <c r="D32">
        <v>39.200000000000003</v>
      </c>
      <c r="E32">
        <v>21.1</v>
      </c>
      <c r="F32">
        <v>196</v>
      </c>
      <c r="G32">
        <v>4150</v>
      </c>
      <c r="H32" t="s">
        <v>54</v>
      </c>
      <c r="I32">
        <v>2007</v>
      </c>
    </row>
    <row r="33" spans="1:9" x14ac:dyDescent="0.4">
      <c r="A33">
        <v>37</v>
      </c>
      <c r="B33" t="s">
        <v>52</v>
      </c>
      <c r="C33" t="s">
        <v>57</v>
      </c>
      <c r="D33">
        <v>38.799999999999997</v>
      </c>
      <c r="E33">
        <v>20</v>
      </c>
      <c r="F33">
        <v>190</v>
      </c>
      <c r="G33">
        <v>3950</v>
      </c>
      <c r="H33" t="s">
        <v>54</v>
      </c>
      <c r="I33">
        <v>2007</v>
      </c>
    </row>
    <row r="34" spans="1:9" x14ac:dyDescent="0.4">
      <c r="A34">
        <v>38</v>
      </c>
      <c r="B34" t="s">
        <v>52</v>
      </c>
      <c r="C34" t="s">
        <v>57</v>
      </c>
      <c r="D34">
        <v>42.2</v>
      </c>
      <c r="E34">
        <v>18.5</v>
      </c>
      <c r="F34">
        <v>180</v>
      </c>
      <c r="G34">
        <v>3550</v>
      </c>
      <c r="H34" t="s">
        <v>55</v>
      </c>
      <c r="I34">
        <v>2007</v>
      </c>
    </row>
    <row r="35" spans="1:9" x14ac:dyDescent="0.4">
      <c r="A35">
        <v>39</v>
      </c>
      <c r="B35" t="s">
        <v>52</v>
      </c>
      <c r="C35" t="s">
        <v>57</v>
      </c>
      <c r="D35">
        <v>37.6</v>
      </c>
      <c r="E35">
        <v>19.3</v>
      </c>
      <c r="F35">
        <v>181</v>
      </c>
      <c r="G35">
        <v>3300</v>
      </c>
      <c r="H35" t="s">
        <v>55</v>
      </c>
      <c r="I35">
        <v>2007</v>
      </c>
    </row>
    <row r="36" spans="1:9" x14ac:dyDescent="0.4">
      <c r="A36">
        <v>40</v>
      </c>
      <c r="B36" t="s">
        <v>52</v>
      </c>
      <c r="C36" t="s">
        <v>57</v>
      </c>
      <c r="D36">
        <v>39.799999999999997</v>
      </c>
      <c r="E36">
        <v>19.100000000000001</v>
      </c>
      <c r="F36">
        <v>184</v>
      </c>
      <c r="G36">
        <v>4650</v>
      </c>
      <c r="H36" t="s">
        <v>54</v>
      </c>
      <c r="I36">
        <v>2007</v>
      </c>
    </row>
    <row r="37" spans="1:9" x14ac:dyDescent="0.4">
      <c r="A37">
        <v>41</v>
      </c>
      <c r="B37" t="s">
        <v>52</v>
      </c>
      <c r="C37" t="s">
        <v>57</v>
      </c>
      <c r="D37">
        <v>36.5</v>
      </c>
      <c r="E37">
        <v>18</v>
      </c>
      <c r="F37">
        <v>182</v>
      </c>
      <c r="G37">
        <v>3150</v>
      </c>
      <c r="H37" t="s">
        <v>55</v>
      </c>
      <c r="I37">
        <v>2007</v>
      </c>
    </row>
    <row r="38" spans="1:9" x14ac:dyDescent="0.4">
      <c r="A38">
        <v>42</v>
      </c>
      <c r="B38" t="s">
        <v>52</v>
      </c>
      <c r="C38" t="s">
        <v>57</v>
      </c>
      <c r="D38">
        <v>40.799999999999997</v>
      </c>
      <c r="E38">
        <v>18.399999999999999</v>
      </c>
      <c r="F38">
        <v>195</v>
      </c>
      <c r="G38">
        <v>3900</v>
      </c>
      <c r="H38" t="s">
        <v>54</v>
      </c>
      <c r="I38">
        <v>2007</v>
      </c>
    </row>
    <row r="39" spans="1:9" x14ac:dyDescent="0.4">
      <c r="A39">
        <v>43</v>
      </c>
      <c r="B39" t="s">
        <v>52</v>
      </c>
      <c r="C39" t="s">
        <v>57</v>
      </c>
      <c r="D39">
        <v>36</v>
      </c>
      <c r="E39">
        <v>18.5</v>
      </c>
      <c r="F39">
        <v>186</v>
      </c>
      <c r="G39">
        <v>3100</v>
      </c>
      <c r="H39" t="s">
        <v>55</v>
      </c>
      <c r="I39">
        <v>2007</v>
      </c>
    </row>
    <row r="40" spans="1:9" x14ac:dyDescent="0.4">
      <c r="A40">
        <v>44</v>
      </c>
      <c r="B40" t="s">
        <v>52</v>
      </c>
      <c r="C40" t="s">
        <v>57</v>
      </c>
      <c r="D40">
        <v>44.1</v>
      </c>
      <c r="E40">
        <v>19.7</v>
      </c>
      <c r="F40">
        <v>196</v>
      </c>
      <c r="G40">
        <v>4400</v>
      </c>
      <c r="H40" t="s">
        <v>54</v>
      </c>
      <c r="I40">
        <v>2007</v>
      </c>
    </row>
    <row r="41" spans="1:9" x14ac:dyDescent="0.4">
      <c r="A41">
        <v>45</v>
      </c>
      <c r="B41" t="s">
        <v>52</v>
      </c>
      <c r="C41" t="s">
        <v>57</v>
      </c>
      <c r="D41">
        <v>37</v>
      </c>
      <c r="E41">
        <v>16.899999999999999</v>
      </c>
      <c r="F41">
        <v>185</v>
      </c>
      <c r="G41">
        <v>3000</v>
      </c>
      <c r="H41" t="s">
        <v>55</v>
      </c>
      <c r="I41">
        <v>2007</v>
      </c>
    </row>
    <row r="42" spans="1:9" x14ac:dyDescent="0.4">
      <c r="A42">
        <v>46</v>
      </c>
      <c r="B42" t="s">
        <v>52</v>
      </c>
      <c r="C42" t="s">
        <v>57</v>
      </c>
      <c r="D42">
        <v>39.6</v>
      </c>
      <c r="E42">
        <v>18.8</v>
      </c>
      <c r="F42">
        <v>190</v>
      </c>
      <c r="G42">
        <v>4600</v>
      </c>
      <c r="H42" t="s">
        <v>54</v>
      </c>
      <c r="I42">
        <v>2007</v>
      </c>
    </row>
    <row r="43" spans="1:9" x14ac:dyDescent="0.4">
      <c r="A43">
        <v>47</v>
      </c>
      <c r="B43" t="s">
        <v>52</v>
      </c>
      <c r="C43" t="s">
        <v>57</v>
      </c>
      <c r="D43">
        <v>41.1</v>
      </c>
      <c r="E43">
        <v>19</v>
      </c>
      <c r="F43">
        <v>182</v>
      </c>
      <c r="G43">
        <v>3425</v>
      </c>
      <c r="H43" t="s">
        <v>54</v>
      </c>
      <c r="I43">
        <v>2007</v>
      </c>
    </row>
    <row r="44" spans="1:9" x14ac:dyDescent="0.4">
      <c r="A44">
        <v>49</v>
      </c>
      <c r="B44" t="s">
        <v>52</v>
      </c>
      <c r="C44" t="s">
        <v>57</v>
      </c>
      <c r="D44">
        <v>36</v>
      </c>
      <c r="E44">
        <v>17.899999999999999</v>
      </c>
      <c r="F44">
        <v>190</v>
      </c>
      <c r="G44">
        <v>3450</v>
      </c>
      <c r="H44" t="s">
        <v>55</v>
      </c>
      <c r="I44">
        <v>2007</v>
      </c>
    </row>
    <row r="45" spans="1:9" x14ac:dyDescent="0.4">
      <c r="A45">
        <v>50</v>
      </c>
      <c r="B45" t="s">
        <v>52</v>
      </c>
      <c r="C45" t="s">
        <v>57</v>
      </c>
      <c r="D45">
        <v>42.3</v>
      </c>
      <c r="E45">
        <v>21.2</v>
      </c>
      <c r="F45">
        <v>191</v>
      </c>
      <c r="G45">
        <v>4150</v>
      </c>
      <c r="H45" t="s">
        <v>54</v>
      </c>
      <c r="I45">
        <v>2007</v>
      </c>
    </row>
    <row r="46" spans="1:9" x14ac:dyDescent="0.4">
      <c r="A46">
        <v>51</v>
      </c>
      <c r="B46" t="s">
        <v>52</v>
      </c>
      <c r="C46" t="s">
        <v>56</v>
      </c>
      <c r="D46">
        <v>39.6</v>
      </c>
      <c r="E46">
        <v>17.7</v>
      </c>
      <c r="F46">
        <v>186</v>
      </c>
      <c r="G46">
        <v>3500</v>
      </c>
      <c r="H46" t="s">
        <v>55</v>
      </c>
      <c r="I46">
        <v>2008</v>
      </c>
    </row>
    <row r="47" spans="1:9" x14ac:dyDescent="0.4">
      <c r="A47">
        <v>52</v>
      </c>
      <c r="B47" t="s">
        <v>52</v>
      </c>
      <c r="C47" t="s">
        <v>56</v>
      </c>
      <c r="D47">
        <v>40.1</v>
      </c>
      <c r="E47">
        <v>18.899999999999999</v>
      </c>
      <c r="F47">
        <v>188</v>
      </c>
      <c r="G47">
        <v>4300</v>
      </c>
      <c r="H47" t="s">
        <v>54</v>
      </c>
      <c r="I47">
        <v>2008</v>
      </c>
    </row>
    <row r="48" spans="1:9" x14ac:dyDescent="0.4">
      <c r="A48">
        <v>53</v>
      </c>
      <c r="B48" t="s">
        <v>52</v>
      </c>
      <c r="C48" t="s">
        <v>56</v>
      </c>
      <c r="D48">
        <v>35</v>
      </c>
      <c r="E48">
        <v>17.899999999999999</v>
      </c>
      <c r="F48">
        <v>190</v>
      </c>
      <c r="G48">
        <v>3450</v>
      </c>
      <c r="H48" t="s">
        <v>55</v>
      </c>
      <c r="I48">
        <v>2008</v>
      </c>
    </row>
    <row r="49" spans="1:9" x14ac:dyDescent="0.4">
      <c r="A49">
        <v>54</v>
      </c>
      <c r="B49" t="s">
        <v>52</v>
      </c>
      <c r="C49" t="s">
        <v>56</v>
      </c>
      <c r="D49">
        <v>42</v>
      </c>
      <c r="E49">
        <v>19.5</v>
      </c>
      <c r="F49">
        <v>200</v>
      </c>
      <c r="G49">
        <v>4050</v>
      </c>
      <c r="H49" t="s">
        <v>54</v>
      </c>
      <c r="I49">
        <v>2008</v>
      </c>
    </row>
    <row r="50" spans="1:9" x14ac:dyDescent="0.4">
      <c r="A50">
        <v>55</v>
      </c>
      <c r="B50" t="s">
        <v>52</v>
      </c>
      <c r="C50" t="s">
        <v>56</v>
      </c>
      <c r="D50">
        <v>34.5</v>
      </c>
      <c r="E50">
        <v>18.100000000000001</v>
      </c>
      <c r="F50">
        <v>187</v>
      </c>
      <c r="G50">
        <v>2900</v>
      </c>
      <c r="H50" t="s">
        <v>55</v>
      </c>
      <c r="I50">
        <v>2008</v>
      </c>
    </row>
    <row r="51" spans="1:9" x14ac:dyDescent="0.4">
      <c r="A51">
        <v>56</v>
      </c>
      <c r="B51" t="s">
        <v>52</v>
      </c>
      <c r="C51" t="s">
        <v>56</v>
      </c>
      <c r="D51">
        <v>41.4</v>
      </c>
      <c r="E51">
        <v>18.600000000000001</v>
      </c>
      <c r="F51">
        <v>191</v>
      </c>
      <c r="G51">
        <v>3700</v>
      </c>
      <c r="H51" t="s">
        <v>54</v>
      </c>
      <c r="I51">
        <v>2008</v>
      </c>
    </row>
    <row r="52" spans="1:9" x14ac:dyDescent="0.4">
      <c r="A52">
        <v>57</v>
      </c>
      <c r="B52" t="s">
        <v>52</v>
      </c>
      <c r="C52" t="s">
        <v>56</v>
      </c>
      <c r="D52">
        <v>39</v>
      </c>
      <c r="E52">
        <v>17.5</v>
      </c>
      <c r="F52">
        <v>186</v>
      </c>
      <c r="G52">
        <v>3550</v>
      </c>
      <c r="H52" t="s">
        <v>55</v>
      </c>
      <c r="I52">
        <v>2008</v>
      </c>
    </row>
    <row r="53" spans="1:9" x14ac:dyDescent="0.4">
      <c r="A53">
        <v>58</v>
      </c>
      <c r="B53" t="s">
        <v>52</v>
      </c>
      <c r="C53" t="s">
        <v>56</v>
      </c>
      <c r="D53">
        <v>40.6</v>
      </c>
      <c r="E53">
        <v>18.8</v>
      </c>
      <c r="F53">
        <v>193</v>
      </c>
      <c r="G53">
        <v>3800</v>
      </c>
      <c r="H53" t="s">
        <v>54</v>
      </c>
      <c r="I53">
        <v>2008</v>
      </c>
    </row>
    <row r="54" spans="1:9" x14ac:dyDescent="0.4">
      <c r="A54">
        <v>59</v>
      </c>
      <c r="B54" t="s">
        <v>52</v>
      </c>
      <c r="C54" t="s">
        <v>56</v>
      </c>
      <c r="D54">
        <v>36.5</v>
      </c>
      <c r="E54">
        <v>16.600000000000001</v>
      </c>
      <c r="F54">
        <v>181</v>
      </c>
      <c r="G54">
        <v>2850</v>
      </c>
      <c r="H54" t="s">
        <v>55</v>
      </c>
      <c r="I54">
        <v>2008</v>
      </c>
    </row>
    <row r="55" spans="1:9" x14ac:dyDescent="0.4">
      <c r="A55">
        <v>60</v>
      </c>
      <c r="B55" t="s">
        <v>52</v>
      </c>
      <c r="C55" t="s">
        <v>56</v>
      </c>
      <c r="D55">
        <v>37.6</v>
      </c>
      <c r="E55">
        <v>19.100000000000001</v>
      </c>
      <c r="F55">
        <v>194</v>
      </c>
      <c r="G55">
        <v>3750</v>
      </c>
      <c r="H55" t="s">
        <v>54</v>
      </c>
      <c r="I55">
        <v>2008</v>
      </c>
    </row>
    <row r="56" spans="1:9" x14ac:dyDescent="0.4">
      <c r="A56">
        <v>61</v>
      </c>
      <c r="B56" t="s">
        <v>52</v>
      </c>
      <c r="C56" t="s">
        <v>56</v>
      </c>
      <c r="D56">
        <v>35.700000000000003</v>
      </c>
      <c r="E56">
        <v>16.899999999999999</v>
      </c>
      <c r="F56">
        <v>185</v>
      </c>
      <c r="G56">
        <v>3150</v>
      </c>
      <c r="H56" t="s">
        <v>55</v>
      </c>
      <c r="I56">
        <v>2008</v>
      </c>
    </row>
    <row r="57" spans="1:9" x14ac:dyDescent="0.4">
      <c r="A57">
        <v>62</v>
      </c>
      <c r="B57" t="s">
        <v>52</v>
      </c>
      <c r="C57" t="s">
        <v>56</v>
      </c>
      <c r="D57">
        <v>41.3</v>
      </c>
      <c r="E57">
        <v>21.1</v>
      </c>
      <c r="F57">
        <v>195</v>
      </c>
      <c r="G57">
        <v>4400</v>
      </c>
      <c r="H57" t="s">
        <v>54</v>
      </c>
      <c r="I57">
        <v>2008</v>
      </c>
    </row>
    <row r="58" spans="1:9" x14ac:dyDescent="0.4">
      <c r="A58">
        <v>63</v>
      </c>
      <c r="B58" t="s">
        <v>52</v>
      </c>
      <c r="C58" t="s">
        <v>56</v>
      </c>
      <c r="D58">
        <v>37.6</v>
      </c>
      <c r="E58">
        <v>17</v>
      </c>
      <c r="F58">
        <v>185</v>
      </c>
      <c r="G58">
        <v>3600</v>
      </c>
      <c r="H58" t="s">
        <v>55</v>
      </c>
      <c r="I58">
        <v>2008</v>
      </c>
    </row>
    <row r="59" spans="1:9" x14ac:dyDescent="0.4">
      <c r="A59">
        <v>64</v>
      </c>
      <c r="B59" t="s">
        <v>52</v>
      </c>
      <c r="C59" t="s">
        <v>56</v>
      </c>
      <c r="D59">
        <v>41.1</v>
      </c>
      <c r="E59">
        <v>18.2</v>
      </c>
      <c r="F59">
        <v>192</v>
      </c>
      <c r="G59">
        <v>4050</v>
      </c>
      <c r="H59" t="s">
        <v>54</v>
      </c>
      <c r="I59">
        <v>2008</v>
      </c>
    </row>
    <row r="60" spans="1:9" x14ac:dyDescent="0.4">
      <c r="A60">
        <v>65</v>
      </c>
      <c r="B60" t="s">
        <v>52</v>
      </c>
      <c r="C60" t="s">
        <v>56</v>
      </c>
      <c r="D60">
        <v>36.4</v>
      </c>
      <c r="E60">
        <v>17.100000000000001</v>
      </c>
      <c r="F60">
        <v>184</v>
      </c>
      <c r="G60">
        <v>2850</v>
      </c>
      <c r="H60" t="s">
        <v>55</v>
      </c>
      <c r="I60">
        <v>2008</v>
      </c>
    </row>
    <row r="61" spans="1:9" x14ac:dyDescent="0.4">
      <c r="A61">
        <v>66</v>
      </c>
      <c r="B61" t="s">
        <v>52</v>
      </c>
      <c r="C61" t="s">
        <v>56</v>
      </c>
      <c r="D61">
        <v>41.6</v>
      </c>
      <c r="E61">
        <v>18</v>
      </c>
      <c r="F61">
        <v>192</v>
      </c>
      <c r="G61">
        <v>3950</v>
      </c>
      <c r="H61" t="s">
        <v>54</v>
      </c>
      <c r="I61">
        <v>2008</v>
      </c>
    </row>
    <row r="62" spans="1:9" x14ac:dyDescent="0.4">
      <c r="A62">
        <v>67</v>
      </c>
      <c r="B62" t="s">
        <v>52</v>
      </c>
      <c r="C62" t="s">
        <v>56</v>
      </c>
      <c r="D62">
        <v>35.5</v>
      </c>
      <c r="E62">
        <v>16.2</v>
      </c>
      <c r="F62">
        <v>195</v>
      </c>
      <c r="G62">
        <v>3350</v>
      </c>
      <c r="H62" t="s">
        <v>55</v>
      </c>
      <c r="I62">
        <v>2008</v>
      </c>
    </row>
    <row r="63" spans="1:9" x14ac:dyDescent="0.4">
      <c r="A63">
        <v>68</v>
      </c>
      <c r="B63" t="s">
        <v>52</v>
      </c>
      <c r="C63" t="s">
        <v>56</v>
      </c>
      <c r="D63">
        <v>41.1</v>
      </c>
      <c r="E63">
        <v>19.100000000000001</v>
      </c>
      <c r="F63">
        <v>188</v>
      </c>
      <c r="G63">
        <v>4100</v>
      </c>
      <c r="H63" t="s">
        <v>54</v>
      </c>
      <c r="I63">
        <v>2008</v>
      </c>
    </row>
    <row r="64" spans="1:9" x14ac:dyDescent="0.4">
      <c r="A64">
        <v>69</v>
      </c>
      <c r="B64" t="s">
        <v>52</v>
      </c>
      <c r="C64" t="s">
        <v>53</v>
      </c>
      <c r="D64">
        <v>35.9</v>
      </c>
      <c r="E64">
        <v>16.600000000000001</v>
      </c>
      <c r="F64">
        <v>190</v>
      </c>
      <c r="G64">
        <v>3050</v>
      </c>
      <c r="H64" t="s">
        <v>55</v>
      </c>
      <c r="I64">
        <v>2008</v>
      </c>
    </row>
    <row r="65" spans="1:9" x14ac:dyDescent="0.4">
      <c r="A65">
        <v>70</v>
      </c>
      <c r="B65" t="s">
        <v>52</v>
      </c>
      <c r="C65" t="s">
        <v>53</v>
      </c>
      <c r="D65">
        <v>41.8</v>
      </c>
      <c r="E65">
        <v>19.399999999999999</v>
      </c>
      <c r="F65">
        <v>198</v>
      </c>
      <c r="G65">
        <v>4450</v>
      </c>
      <c r="H65" t="s">
        <v>54</v>
      </c>
      <c r="I65">
        <v>2008</v>
      </c>
    </row>
    <row r="66" spans="1:9" x14ac:dyDescent="0.4">
      <c r="A66">
        <v>71</v>
      </c>
      <c r="B66" t="s">
        <v>52</v>
      </c>
      <c r="C66" t="s">
        <v>53</v>
      </c>
      <c r="D66">
        <v>33.5</v>
      </c>
      <c r="E66">
        <v>19</v>
      </c>
      <c r="F66">
        <v>190</v>
      </c>
      <c r="G66">
        <v>3600</v>
      </c>
      <c r="H66" t="s">
        <v>55</v>
      </c>
      <c r="I66">
        <v>2008</v>
      </c>
    </row>
    <row r="67" spans="1:9" x14ac:dyDescent="0.4">
      <c r="A67">
        <v>72</v>
      </c>
      <c r="B67" t="s">
        <v>52</v>
      </c>
      <c r="C67" t="s">
        <v>53</v>
      </c>
      <c r="D67">
        <v>39.700000000000003</v>
      </c>
      <c r="E67">
        <v>18.399999999999999</v>
      </c>
      <c r="F67">
        <v>190</v>
      </c>
      <c r="G67">
        <v>3900</v>
      </c>
      <c r="H67" t="s">
        <v>54</v>
      </c>
      <c r="I67">
        <v>2008</v>
      </c>
    </row>
    <row r="68" spans="1:9" x14ac:dyDescent="0.4">
      <c r="A68">
        <v>73</v>
      </c>
      <c r="B68" t="s">
        <v>52</v>
      </c>
      <c r="C68" t="s">
        <v>53</v>
      </c>
      <c r="D68">
        <v>39.6</v>
      </c>
      <c r="E68">
        <v>17.2</v>
      </c>
      <c r="F68">
        <v>196</v>
      </c>
      <c r="G68">
        <v>3550</v>
      </c>
      <c r="H68" t="s">
        <v>55</v>
      </c>
      <c r="I68">
        <v>2008</v>
      </c>
    </row>
    <row r="69" spans="1:9" x14ac:dyDescent="0.4">
      <c r="A69">
        <v>74</v>
      </c>
      <c r="B69" t="s">
        <v>52</v>
      </c>
      <c r="C69" t="s">
        <v>53</v>
      </c>
      <c r="D69">
        <v>45.8</v>
      </c>
      <c r="E69">
        <v>18.899999999999999</v>
      </c>
      <c r="F69">
        <v>197</v>
      </c>
      <c r="G69">
        <v>4150</v>
      </c>
      <c r="H69" t="s">
        <v>54</v>
      </c>
      <c r="I69">
        <v>2008</v>
      </c>
    </row>
    <row r="70" spans="1:9" x14ac:dyDescent="0.4">
      <c r="A70">
        <v>75</v>
      </c>
      <c r="B70" t="s">
        <v>52</v>
      </c>
      <c r="C70" t="s">
        <v>53</v>
      </c>
      <c r="D70">
        <v>35.5</v>
      </c>
      <c r="E70">
        <v>17.5</v>
      </c>
      <c r="F70">
        <v>190</v>
      </c>
      <c r="G70">
        <v>3700</v>
      </c>
      <c r="H70" t="s">
        <v>55</v>
      </c>
      <c r="I70">
        <v>2008</v>
      </c>
    </row>
    <row r="71" spans="1:9" x14ac:dyDescent="0.4">
      <c r="A71">
        <v>76</v>
      </c>
      <c r="B71" t="s">
        <v>52</v>
      </c>
      <c r="C71" t="s">
        <v>53</v>
      </c>
      <c r="D71">
        <v>42.8</v>
      </c>
      <c r="E71">
        <v>18.5</v>
      </c>
      <c r="F71">
        <v>195</v>
      </c>
      <c r="G71">
        <v>4250</v>
      </c>
      <c r="H71" t="s">
        <v>54</v>
      </c>
      <c r="I71">
        <v>2008</v>
      </c>
    </row>
    <row r="72" spans="1:9" x14ac:dyDescent="0.4">
      <c r="A72">
        <v>77</v>
      </c>
      <c r="B72" t="s">
        <v>52</v>
      </c>
      <c r="C72" t="s">
        <v>53</v>
      </c>
      <c r="D72">
        <v>40.9</v>
      </c>
      <c r="E72">
        <v>16.8</v>
      </c>
      <c r="F72">
        <v>191</v>
      </c>
      <c r="G72">
        <v>3700</v>
      </c>
      <c r="H72" t="s">
        <v>55</v>
      </c>
      <c r="I72">
        <v>2008</v>
      </c>
    </row>
    <row r="73" spans="1:9" x14ac:dyDescent="0.4">
      <c r="A73">
        <v>78</v>
      </c>
      <c r="B73" t="s">
        <v>52</v>
      </c>
      <c r="C73" t="s">
        <v>53</v>
      </c>
      <c r="D73">
        <v>37.200000000000003</v>
      </c>
      <c r="E73">
        <v>19.399999999999999</v>
      </c>
      <c r="F73">
        <v>184</v>
      </c>
      <c r="G73">
        <v>3900</v>
      </c>
      <c r="H73" t="s">
        <v>54</v>
      </c>
      <c r="I73">
        <v>2008</v>
      </c>
    </row>
    <row r="74" spans="1:9" x14ac:dyDescent="0.4">
      <c r="A74">
        <v>79</v>
      </c>
      <c r="B74" t="s">
        <v>52</v>
      </c>
      <c r="C74" t="s">
        <v>53</v>
      </c>
      <c r="D74">
        <v>36.200000000000003</v>
      </c>
      <c r="E74">
        <v>16.100000000000001</v>
      </c>
      <c r="F74">
        <v>187</v>
      </c>
      <c r="G74">
        <v>3550</v>
      </c>
      <c r="H74" t="s">
        <v>55</v>
      </c>
      <c r="I74">
        <v>2008</v>
      </c>
    </row>
    <row r="75" spans="1:9" x14ac:dyDescent="0.4">
      <c r="A75">
        <v>80</v>
      </c>
      <c r="B75" t="s">
        <v>52</v>
      </c>
      <c r="C75" t="s">
        <v>53</v>
      </c>
      <c r="D75">
        <v>42.1</v>
      </c>
      <c r="E75">
        <v>19.100000000000001</v>
      </c>
      <c r="F75">
        <v>195</v>
      </c>
      <c r="G75">
        <v>4000</v>
      </c>
      <c r="H75" t="s">
        <v>54</v>
      </c>
      <c r="I75">
        <v>2008</v>
      </c>
    </row>
    <row r="76" spans="1:9" x14ac:dyDescent="0.4">
      <c r="A76">
        <v>81</v>
      </c>
      <c r="B76" t="s">
        <v>52</v>
      </c>
      <c r="C76" t="s">
        <v>53</v>
      </c>
      <c r="D76">
        <v>34.6</v>
      </c>
      <c r="E76">
        <v>17.2</v>
      </c>
      <c r="F76">
        <v>189</v>
      </c>
      <c r="G76">
        <v>3200</v>
      </c>
      <c r="H76" t="s">
        <v>55</v>
      </c>
      <c r="I76">
        <v>2008</v>
      </c>
    </row>
    <row r="77" spans="1:9" x14ac:dyDescent="0.4">
      <c r="A77">
        <v>82</v>
      </c>
      <c r="B77" t="s">
        <v>52</v>
      </c>
      <c r="C77" t="s">
        <v>53</v>
      </c>
      <c r="D77">
        <v>42.9</v>
      </c>
      <c r="E77">
        <v>17.600000000000001</v>
      </c>
      <c r="F77">
        <v>196</v>
      </c>
      <c r="G77">
        <v>4700</v>
      </c>
      <c r="H77" t="s">
        <v>54</v>
      </c>
      <c r="I77">
        <v>2008</v>
      </c>
    </row>
    <row r="78" spans="1:9" x14ac:dyDescent="0.4">
      <c r="A78">
        <v>83</v>
      </c>
      <c r="B78" t="s">
        <v>52</v>
      </c>
      <c r="C78" t="s">
        <v>53</v>
      </c>
      <c r="D78">
        <v>36.700000000000003</v>
      </c>
      <c r="E78">
        <v>18.8</v>
      </c>
      <c r="F78">
        <v>187</v>
      </c>
      <c r="G78">
        <v>3800</v>
      </c>
      <c r="H78" t="s">
        <v>55</v>
      </c>
      <c r="I78">
        <v>2008</v>
      </c>
    </row>
    <row r="79" spans="1:9" x14ac:dyDescent="0.4">
      <c r="A79">
        <v>84</v>
      </c>
      <c r="B79" t="s">
        <v>52</v>
      </c>
      <c r="C79" t="s">
        <v>53</v>
      </c>
      <c r="D79">
        <v>35.1</v>
      </c>
      <c r="E79">
        <v>19.399999999999999</v>
      </c>
      <c r="F79">
        <v>193</v>
      </c>
      <c r="G79">
        <v>4200</v>
      </c>
      <c r="H79" t="s">
        <v>54</v>
      </c>
      <c r="I79">
        <v>2008</v>
      </c>
    </row>
    <row r="80" spans="1:9" x14ac:dyDescent="0.4">
      <c r="A80">
        <v>85</v>
      </c>
      <c r="B80" t="s">
        <v>52</v>
      </c>
      <c r="C80" t="s">
        <v>57</v>
      </c>
      <c r="D80">
        <v>37.299999999999997</v>
      </c>
      <c r="E80">
        <v>17.8</v>
      </c>
      <c r="F80">
        <v>191</v>
      </c>
      <c r="G80">
        <v>3350</v>
      </c>
      <c r="H80" t="s">
        <v>55</v>
      </c>
      <c r="I80">
        <v>2008</v>
      </c>
    </row>
    <row r="81" spans="1:9" x14ac:dyDescent="0.4">
      <c r="A81">
        <v>86</v>
      </c>
      <c r="B81" t="s">
        <v>52</v>
      </c>
      <c r="C81" t="s">
        <v>57</v>
      </c>
      <c r="D81">
        <v>41.3</v>
      </c>
      <c r="E81">
        <v>20.3</v>
      </c>
      <c r="F81">
        <v>194</v>
      </c>
      <c r="G81">
        <v>3550</v>
      </c>
      <c r="H81" t="s">
        <v>54</v>
      </c>
      <c r="I81">
        <v>2008</v>
      </c>
    </row>
    <row r="82" spans="1:9" x14ac:dyDescent="0.4">
      <c r="A82">
        <v>87</v>
      </c>
      <c r="B82" t="s">
        <v>52</v>
      </c>
      <c r="C82" t="s">
        <v>57</v>
      </c>
      <c r="D82">
        <v>36.299999999999997</v>
      </c>
      <c r="E82">
        <v>19.5</v>
      </c>
      <c r="F82">
        <v>190</v>
      </c>
      <c r="G82">
        <v>3800</v>
      </c>
      <c r="H82" t="s">
        <v>54</v>
      </c>
      <c r="I82">
        <v>2008</v>
      </c>
    </row>
    <row r="83" spans="1:9" x14ac:dyDescent="0.4">
      <c r="A83">
        <v>88</v>
      </c>
      <c r="B83" t="s">
        <v>52</v>
      </c>
      <c r="C83" t="s">
        <v>57</v>
      </c>
      <c r="D83">
        <v>36.9</v>
      </c>
      <c r="E83">
        <v>18.600000000000001</v>
      </c>
      <c r="F83">
        <v>189</v>
      </c>
      <c r="G83">
        <v>3500</v>
      </c>
      <c r="H83" t="s">
        <v>55</v>
      </c>
      <c r="I83">
        <v>2008</v>
      </c>
    </row>
    <row r="84" spans="1:9" x14ac:dyDescent="0.4">
      <c r="A84">
        <v>89</v>
      </c>
      <c r="B84" t="s">
        <v>52</v>
      </c>
      <c r="C84" t="s">
        <v>57</v>
      </c>
      <c r="D84">
        <v>38.299999999999997</v>
      </c>
      <c r="E84">
        <v>19.2</v>
      </c>
      <c r="F84">
        <v>189</v>
      </c>
      <c r="G84">
        <v>3950</v>
      </c>
      <c r="H84" t="s">
        <v>54</v>
      </c>
      <c r="I84">
        <v>2008</v>
      </c>
    </row>
    <row r="85" spans="1:9" x14ac:dyDescent="0.4">
      <c r="A85">
        <v>90</v>
      </c>
      <c r="B85" t="s">
        <v>52</v>
      </c>
      <c r="C85" t="s">
        <v>57</v>
      </c>
      <c r="D85">
        <v>38.9</v>
      </c>
      <c r="E85">
        <v>18.8</v>
      </c>
      <c r="F85">
        <v>190</v>
      </c>
      <c r="G85">
        <v>3600</v>
      </c>
      <c r="H85" t="s">
        <v>55</v>
      </c>
      <c r="I85">
        <v>2008</v>
      </c>
    </row>
    <row r="86" spans="1:9" x14ac:dyDescent="0.4">
      <c r="A86">
        <v>91</v>
      </c>
      <c r="B86" t="s">
        <v>52</v>
      </c>
      <c r="C86" t="s">
        <v>57</v>
      </c>
      <c r="D86">
        <v>35.700000000000003</v>
      </c>
      <c r="E86">
        <v>18</v>
      </c>
      <c r="F86">
        <v>202</v>
      </c>
      <c r="G86">
        <v>3550</v>
      </c>
      <c r="H86" t="s">
        <v>55</v>
      </c>
      <c r="I86">
        <v>2008</v>
      </c>
    </row>
    <row r="87" spans="1:9" x14ac:dyDescent="0.4">
      <c r="A87">
        <v>92</v>
      </c>
      <c r="B87" t="s">
        <v>52</v>
      </c>
      <c r="C87" t="s">
        <v>57</v>
      </c>
      <c r="D87">
        <v>41.1</v>
      </c>
      <c r="E87">
        <v>18.100000000000001</v>
      </c>
      <c r="F87">
        <v>205</v>
      </c>
      <c r="G87">
        <v>4300</v>
      </c>
      <c r="H87" t="s">
        <v>54</v>
      </c>
      <c r="I87">
        <v>2008</v>
      </c>
    </row>
    <row r="88" spans="1:9" x14ac:dyDescent="0.4">
      <c r="A88">
        <v>93</v>
      </c>
      <c r="B88" t="s">
        <v>52</v>
      </c>
      <c r="C88" t="s">
        <v>57</v>
      </c>
      <c r="D88">
        <v>34</v>
      </c>
      <c r="E88">
        <v>17.100000000000001</v>
      </c>
      <c r="F88">
        <v>185</v>
      </c>
      <c r="G88">
        <v>3400</v>
      </c>
      <c r="H88" t="s">
        <v>55</v>
      </c>
      <c r="I88">
        <v>2008</v>
      </c>
    </row>
    <row r="89" spans="1:9" x14ac:dyDescent="0.4">
      <c r="A89">
        <v>94</v>
      </c>
      <c r="B89" t="s">
        <v>52</v>
      </c>
      <c r="C89" t="s">
        <v>57</v>
      </c>
      <c r="D89">
        <v>39.6</v>
      </c>
      <c r="E89">
        <v>18.100000000000001</v>
      </c>
      <c r="F89">
        <v>186</v>
      </c>
      <c r="G89">
        <v>4450</v>
      </c>
      <c r="H89" t="s">
        <v>54</v>
      </c>
      <c r="I89">
        <v>2008</v>
      </c>
    </row>
    <row r="90" spans="1:9" x14ac:dyDescent="0.4">
      <c r="A90">
        <v>95</v>
      </c>
      <c r="B90" t="s">
        <v>52</v>
      </c>
      <c r="C90" t="s">
        <v>57</v>
      </c>
      <c r="D90">
        <v>36.200000000000003</v>
      </c>
      <c r="E90">
        <v>17.3</v>
      </c>
      <c r="F90">
        <v>187</v>
      </c>
      <c r="G90">
        <v>3300</v>
      </c>
      <c r="H90" t="s">
        <v>55</v>
      </c>
      <c r="I90">
        <v>2008</v>
      </c>
    </row>
    <row r="91" spans="1:9" x14ac:dyDescent="0.4">
      <c r="A91">
        <v>96</v>
      </c>
      <c r="B91" t="s">
        <v>52</v>
      </c>
      <c r="C91" t="s">
        <v>57</v>
      </c>
      <c r="D91">
        <v>40.799999999999997</v>
      </c>
      <c r="E91">
        <v>18.899999999999999</v>
      </c>
      <c r="F91">
        <v>208</v>
      </c>
      <c r="G91">
        <v>4300</v>
      </c>
      <c r="H91" t="s">
        <v>54</v>
      </c>
      <c r="I91">
        <v>2008</v>
      </c>
    </row>
    <row r="92" spans="1:9" x14ac:dyDescent="0.4">
      <c r="A92">
        <v>97</v>
      </c>
      <c r="B92" t="s">
        <v>52</v>
      </c>
      <c r="C92" t="s">
        <v>57</v>
      </c>
      <c r="D92">
        <v>38.1</v>
      </c>
      <c r="E92">
        <v>18.600000000000001</v>
      </c>
      <c r="F92">
        <v>190</v>
      </c>
      <c r="G92">
        <v>3700</v>
      </c>
      <c r="H92" t="s">
        <v>55</v>
      </c>
      <c r="I92">
        <v>2008</v>
      </c>
    </row>
    <row r="93" spans="1:9" x14ac:dyDescent="0.4">
      <c r="A93">
        <v>98</v>
      </c>
      <c r="B93" t="s">
        <v>52</v>
      </c>
      <c r="C93" t="s">
        <v>57</v>
      </c>
      <c r="D93">
        <v>40.299999999999997</v>
      </c>
      <c r="E93">
        <v>18.5</v>
      </c>
      <c r="F93">
        <v>196</v>
      </c>
      <c r="G93">
        <v>4350</v>
      </c>
      <c r="H93" t="s">
        <v>54</v>
      </c>
      <c r="I93">
        <v>2008</v>
      </c>
    </row>
    <row r="94" spans="1:9" x14ac:dyDescent="0.4">
      <c r="A94">
        <v>99</v>
      </c>
      <c r="B94" t="s">
        <v>52</v>
      </c>
      <c r="C94" t="s">
        <v>57</v>
      </c>
      <c r="D94">
        <v>33.1</v>
      </c>
      <c r="E94">
        <v>16.100000000000001</v>
      </c>
      <c r="F94">
        <v>178</v>
      </c>
      <c r="G94">
        <v>2900</v>
      </c>
      <c r="H94" t="s">
        <v>55</v>
      </c>
      <c r="I94">
        <v>2008</v>
      </c>
    </row>
    <row r="95" spans="1:9" x14ac:dyDescent="0.4">
      <c r="A95">
        <v>100</v>
      </c>
      <c r="B95" t="s">
        <v>52</v>
      </c>
      <c r="C95" t="s">
        <v>57</v>
      </c>
      <c r="D95">
        <v>43.2</v>
      </c>
      <c r="E95">
        <v>18.5</v>
      </c>
      <c r="F95">
        <v>192</v>
      </c>
      <c r="G95">
        <v>4100</v>
      </c>
      <c r="H95" t="s">
        <v>54</v>
      </c>
      <c r="I95">
        <v>2008</v>
      </c>
    </row>
    <row r="96" spans="1:9" x14ac:dyDescent="0.4">
      <c r="A96">
        <v>101</v>
      </c>
      <c r="B96" t="s">
        <v>52</v>
      </c>
      <c r="C96" t="s">
        <v>56</v>
      </c>
      <c r="D96">
        <v>35</v>
      </c>
      <c r="E96">
        <v>17.899999999999999</v>
      </c>
      <c r="F96">
        <v>192</v>
      </c>
      <c r="G96">
        <v>3725</v>
      </c>
      <c r="H96" t="s">
        <v>55</v>
      </c>
      <c r="I96">
        <v>2009</v>
      </c>
    </row>
    <row r="97" spans="1:9" x14ac:dyDescent="0.4">
      <c r="A97">
        <v>102</v>
      </c>
      <c r="B97" t="s">
        <v>52</v>
      </c>
      <c r="C97" t="s">
        <v>56</v>
      </c>
      <c r="D97">
        <v>41</v>
      </c>
      <c r="E97">
        <v>20</v>
      </c>
      <c r="F97">
        <v>203</v>
      </c>
      <c r="G97">
        <v>4725</v>
      </c>
      <c r="H97" t="s">
        <v>54</v>
      </c>
      <c r="I97">
        <v>2009</v>
      </c>
    </row>
    <row r="98" spans="1:9" x14ac:dyDescent="0.4">
      <c r="A98">
        <v>103</v>
      </c>
      <c r="B98" t="s">
        <v>52</v>
      </c>
      <c r="C98" t="s">
        <v>56</v>
      </c>
      <c r="D98">
        <v>37.700000000000003</v>
      </c>
      <c r="E98">
        <v>16</v>
      </c>
      <c r="F98">
        <v>183</v>
      </c>
      <c r="G98">
        <v>3075</v>
      </c>
      <c r="H98" t="s">
        <v>55</v>
      </c>
      <c r="I98">
        <v>2009</v>
      </c>
    </row>
    <row r="99" spans="1:9" x14ac:dyDescent="0.4">
      <c r="A99">
        <v>104</v>
      </c>
      <c r="B99" t="s">
        <v>52</v>
      </c>
      <c r="C99" t="s">
        <v>56</v>
      </c>
      <c r="D99">
        <v>37.799999999999997</v>
      </c>
      <c r="E99">
        <v>20</v>
      </c>
      <c r="F99">
        <v>190</v>
      </c>
      <c r="G99">
        <v>4250</v>
      </c>
      <c r="H99" t="s">
        <v>54</v>
      </c>
      <c r="I99">
        <v>2009</v>
      </c>
    </row>
    <row r="100" spans="1:9" x14ac:dyDescent="0.4">
      <c r="A100">
        <v>105</v>
      </c>
      <c r="B100" t="s">
        <v>52</v>
      </c>
      <c r="C100" t="s">
        <v>56</v>
      </c>
      <c r="D100">
        <v>37.9</v>
      </c>
      <c r="E100">
        <v>18.600000000000001</v>
      </c>
      <c r="F100">
        <v>193</v>
      </c>
      <c r="G100">
        <v>2925</v>
      </c>
      <c r="H100" t="s">
        <v>55</v>
      </c>
      <c r="I100">
        <v>2009</v>
      </c>
    </row>
    <row r="101" spans="1:9" x14ac:dyDescent="0.4">
      <c r="A101">
        <v>106</v>
      </c>
      <c r="B101" t="s">
        <v>52</v>
      </c>
      <c r="C101" t="s">
        <v>56</v>
      </c>
      <c r="D101">
        <v>39.700000000000003</v>
      </c>
      <c r="E101">
        <v>18.899999999999999</v>
      </c>
      <c r="F101">
        <v>184</v>
      </c>
      <c r="G101">
        <v>3550</v>
      </c>
      <c r="H101" t="s">
        <v>54</v>
      </c>
      <c r="I101">
        <v>2009</v>
      </c>
    </row>
    <row r="102" spans="1:9" x14ac:dyDescent="0.4">
      <c r="A102">
        <v>107</v>
      </c>
      <c r="B102" t="s">
        <v>52</v>
      </c>
      <c r="C102" t="s">
        <v>56</v>
      </c>
      <c r="D102">
        <v>38.6</v>
      </c>
      <c r="E102">
        <v>17.2</v>
      </c>
      <c r="F102">
        <v>199</v>
      </c>
      <c r="G102">
        <v>3750</v>
      </c>
      <c r="H102" t="s">
        <v>55</v>
      </c>
      <c r="I102">
        <v>2009</v>
      </c>
    </row>
    <row r="103" spans="1:9" x14ac:dyDescent="0.4">
      <c r="A103">
        <v>108</v>
      </c>
      <c r="B103" t="s">
        <v>52</v>
      </c>
      <c r="C103" t="s">
        <v>56</v>
      </c>
      <c r="D103">
        <v>38.200000000000003</v>
      </c>
      <c r="E103">
        <v>20</v>
      </c>
      <c r="F103">
        <v>190</v>
      </c>
      <c r="G103">
        <v>3900</v>
      </c>
      <c r="H103" t="s">
        <v>54</v>
      </c>
      <c r="I103">
        <v>2009</v>
      </c>
    </row>
    <row r="104" spans="1:9" x14ac:dyDescent="0.4">
      <c r="A104">
        <v>109</v>
      </c>
      <c r="B104" t="s">
        <v>52</v>
      </c>
      <c r="C104" t="s">
        <v>56</v>
      </c>
      <c r="D104">
        <v>38.1</v>
      </c>
      <c r="E104">
        <v>17</v>
      </c>
      <c r="F104">
        <v>181</v>
      </c>
      <c r="G104">
        <v>3175</v>
      </c>
      <c r="H104" t="s">
        <v>55</v>
      </c>
      <c r="I104">
        <v>2009</v>
      </c>
    </row>
    <row r="105" spans="1:9" x14ac:dyDescent="0.4">
      <c r="A105">
        <v>110</v>
      </c>
      <c r="B105" t="s">
        <v>52</v>
      </c>
      <c r="C105" t="s">
        <v>56</v>
      </c>
      <c r="D105">
        <v>43.2</v>
      </c>
      <c r="E105">
        <v>19</v>
      </c>
      <c r="F105">
        <v>197</v>
      </c>
      <c r="G105">
        <v>4775</v>
      </c>
      <c r="H105" t="s">
        <v>54</v>
      </c>
      <c r="I105">
        <v>2009</v>
      </c>
    </row>
    <row r="106" spans="1:9" x14ac:dyDescent="0.4">
      <c r="A106">
        <v>111</v>
      </c>
      <c r="B106" t="s">
        <v>52</v>
      </c>
      <c r="C106" t="s">
        <v>56</v>
      </c>
      <c r="D106">
        <v>38.1</v>
      </c>
      <c r="E106">
        <v>16.5</v>
      </c>
      <c r="F106">
        <v>198</v>
      </c>
      <c r="G106">
        <v>3825</v>
      </c>
      <c r="H106" t="s">
        <v>55</v>
      </c>
      <c r="I106">
        <v>2009</v>
      </c>
    </row>
    <row r="107" spans="1:9" x14ac:dyDescent="0.4">
      <c r="A107">
        <v>112</v>
      </c>
      <c r="B107" t="s">
        <v>52</v>
      </c>
      <c r="C107" t="s">
        <v>56</v>
      </c>
      <c r="D107">
        <v>45.6</v>
      </c>
      <c r="E107">
        <v>20.3</v>
      </c>
      <c r="F107">
        <v>191</v>
      </c>
      <c r="G107">
        <v>4600</v>
      </c>
      <c r="H107" t="s">
        <v>54</v>
      </c>
      <c r="I107">
        <v>2009</v>
      </c>
    </row>
    <row r="108" spans="1:9" x14ac:dyDescent="0.4">
      <c r="A108">
        <v>113</v>
      </c>
      <c r="B108" t="s">
        <v>52</v>
      </c>
      <c r="C108" t="s">
        <v>56</v>
      </c>
      <c r="D108">
        <v>39.700000000000003</v>
      </c>
      <c r="E108">
        <v>17.7</v>
      </c>
      <c r="F108">
        <v>193</v>
      </c>
      <c r="G108">
        <v>3200</v>
      </c>
      <c r="H108" t="s">
        <v>55</v>
      </c>
      <c r="I108">
        <v>2009</v>
      </c>
    </row>
    <row r="109" spans="1:9" x14ac:dyDescent="0.4">
      <c r="A109">
        <v>114</v>
      </c>
      <c r="B109" t="s">
        <v>52</v>
      </c>
      <c r="C109" t="s">
        <v>56</v>
      </c>
      <c r="D109">
        <v>42.2</v>
      </c>
      <c r="E109">
        <v>19.5</v>
      </c>
      <c r="F109">
        <v>197</v>
      </c>
      <c r="G109">
        <v>4275</v>
      </c>
      <c r="H109" t="s">
        <v>54</v>
      </c>
      <c r="I109">
        <v>2009</v>
      </c>
    </row>
    <row r="110" spans="1:9" x14ac:dyDescent="0.4">
      <c r="A110">
        <v>115</v>
      </c>
      <c r="B110" t="s">
        <v>52</v>
      </c>
      <c r="C110" t="s">
        <v>56</v>
      </c>
      <c r="D110">
        <v>39.6</v>
      </c>
      <c r="E110">
        <v>20.7</v>
      </c>
      <c r="F110">
        <v>191</v>
      </c>
      <c r="G110">
        <v>3900</v>
      </c>
      <c r="H110" t="s">
        <v>55</v>
      </c>
      <c r="I110">
        <v>2009</v>
      </c>
    </row>
    <row r="111" spans="1:9" x14ac:dyDescent="0.4">
      <c r="A111">
        <v>116</v>
      </c>
      <c r="B111" t="s">
        <v>52</v>
      </c>
      <c r="C111" t="s">
        <v>56</v>
      </c>
      <c r="D111">
        <v>42.7</v>
      </c>
      <c r="E111">
        <v>18.3</v>
      </c>
      <c r="F111">
        <v>196</v>
      </c>
      <c r="G111">
        <v>4075</v>
      </c>
      <c r="H111" t="s">
        <v>54</v>
      </c>
      <c r="I111">
        <v>2009</v>
      </c>
    </row>
    <row r="112" spans="1:9" x14ac:dyDescent="0.4">
      <c r="A112">
        <v>117</v>
      </c>
      <c r="B112" t="s">
        <v>52</v>
      </c>
      <c r="C112" t="s">
        <v>53</v>
      </c>
      <c r="D112">
        <v>38.6</v>
      </c>
      <c r="E112">
        <v>17</v>
      </c>
      <c r="F112">
        <v>188</v>
      </c>
      <c r="G112">
        <v>2900</v>
      </c>
      <c r="H112" t="s">
        <v>55</v>
      </c>
      <c r="I112">
        <v>2009</v>
      </c>
    </row>
    <row r="113" spans="1:9" x14ac:dyDescent="0.4">
      <c r="A113">
        <v>118</v>
      </c>
      <c r="B113" t="s">
        <v>52</v>
      </c>
      <c r="C113" t="s">
        <v>53</v>
      </c>
      <c r="D113">
        <v>37.299999999999997</v>
      </c>
      <c r="E113">
        <v>20.5</v>
      </c>
      <c r="F113">
        <v>199</v>
      </c>
      <c r="G113">
        <v>3775</v>
      </c>
      <c r="H113" t="s">
        <v>54</v>
      </c>
      <c r="I113">
        <v>2009</v>
      </c>
    </row>
    <row r="114" spans="1:9" x14ac:dyDescent="0.4">
      <c r="A114">
        <v>119</v>
      </c>
      <c r="B114" t="s">
        <v>52</v>
      </c>
      <c r="C114" t="s">
        <v>53</v>
      </c>
      <c r="D114">
        <v>35.700000000000003</v>
      </c>
      <c r="E114">
        <v>17</v>
      </c>
      <c r="F114">
        <v>189</v>
      </c>
      <c r="G114">
        <v>3350</v>
      </c>
      <c r="H114" t="s">
        <v>55</v>
      </c>
      <c r="I114">
        <v>2009</v>
      </c>
    </row>
    <row r="115" spans="1:9" x14ac:dyDescent="0.4">
      <c r="A115">
        <v>120</v>
      </c>
      <c r="B115" t="s">
        <v>52</v>
      </c>
      <c r="C115" t="s">
        <v>53</v>
      </c>
      <c r="D115">
        <v>41.1</v>
      </c>
      <c r="E115">
        <v>18.600000000000001</v>
      </c>
      <c r="F115">
        <v>189</v>
      </c>
      <c r="G115">
        <v>3325</v>
      </c>
      <c r="H115" t="s">
        <v>54</v>
      </c>
      <c r="I115">
        <v>2009</v>
      </c>
    </row>
    <row r="116" spans="1:9" x14ac:dyDescent="0.4">
      <c r="A116">
        <v>121</v>
      </c>
      <c r="B116" t="s">
        <v>52</v>
      </c>
      <c r="C116" t="s">
        <v>53</v>
      </c>
      <c r="D116">
        <v>36.200000000000003</v>
      </c>
      <c r="E116">
        <v>17.2</v>
      </c>
      <c r="F116">
        <v>187</v>
      </c>
      <c r="G116">
        <v>3150</v>
      </c>
      <c r="H116" t="s">
        <v>55</v>
      </c>
      <c r="I116">
        <v>2009</v>
      </c>
    </row>
    <row r="117" spans="1:9" x14ac:dyDescent="0.4">
      <c r="A117">
        <v>122</v>
      </c>
      <c r="B117" t="s">
        <v>52</v>
      </c>
      <c r="C117" t="s">
        <v>53</v>
      </c>
      <c r="D117">
        <v>37.700000000000003</v>
      </c>
      <c r="E117">
        <v>19.8</v>
      </c>
      <c r="F117">
        <v>198</v>
      </c>
      <c r="G117">
        <v>3500</v>
      </c>
      <c r="H117" t="s">
        <v>54</v>
      </c>
      <c r="I117">
        <v>2009</v>
      </c>
    </row>
    <row r="118" spans="1:9" x14ac:dyDescent="0.4">
      <c r="A118">
        <v>123</v>
      </c>
      <c r="B118" t="s">
        <v>52</v>
      </c>
      <c r="C118" t="s">
        <v>53</v>
      </c>
      <c r="D118">
        <v>40.200000000000003</v>
      </c>
      <c r="E118">
        <v>17</v>
      </c>
      <c r="F118">
        <v>176</v>
      </c>
      <c r="G118">
        <v>3450</v>
      </c>
      <c r="H118" t="s">
        <v>55</v>
      </c>
      <c r="I118">
        <v>2009</v>
      </c>
    </row>
    <row r="119" spans="1:9" x14ac:dyDescent="0.4">
      <c r="A119">
        <v>124</v>
      </c>
      <c r="B119" t="s">
        <v>52</v>
      </c>
      <c r="C119" t="s">
        <v>53</v>
      </c>
      <c r="D119">
        <v>41.4</v>
      </c>
      <c r="E119">
        <v>18.5</v>
      </c>
      <c r="F119">
        <v>202</v>
      </c>
      <c r="G119">
        <v>3875</v>
      </c>
      <c r="H119" t="s">
        <v>54</v>
      </c>
      <c r="I119">
        <v>2009</v>
      </c>
    </row>
    <row r="120" spans="1:9" x14ac:dyDescent="0.4">
      <c r="A120">
        <v>125</v>
      </c>
      <c r="B120" t="s">
        <v>52</v>
      </c>
      <c r="C120" t="s">
        <v>53</v>
      </c>
      <c r="D120">
        <v>35.200000000000003</v>
      </c>
      <c r="E120">
        <v>15.9</v>
      </c>
      <c r="F120">
        <v>186</v>
      </c>
      <c r="G120">
        <v>3050</v>
      </c>
      <c r="H120" t="s">
        <v>55</v>
      </c>
      <c r="I120">
        <v>2009</v>
      </c>
    </row>
    <row r="121" spans="1:9" x14ac:dyDescent="0.4">
      <c r="A121">
        <v>126</v>
      </c>
      <c r="B121" t="s">
        <v>52</v>
      </c>
      <c r="C121" t="s">
        <v>53</v>
      </c>
      <c r="D121">
        <v>40.6</v>
      </c>
      <c r="E121">
        <v>19</v>
      </c>
      <c r="F121">
        <v>199</v>
      </c>
      <c r="G121">
        <v>4000</v>
      </c>
      <c r="H121" t="s">
        <v>54</v>
      </c>
      <c r="I121">
        <v>2009</v>
      </c>
    </row>
    <row r="122" spans="1:9" x14ac:dyDescent="0.4">
      <c r="A122">
        <v>127</v>
      </c>
      <c r="B122" t="s">
        <v>52</v>
      </c>
      <c r="C122" t="s">
        <v>53</v>
      </c>
      <c r="D122">
        <v>38.799999999999997</v>
      </c>
      <c r="E122">
        <v>17.600000000000001</v>
      </c>
      <c r="F122">
        <v>191</v>
      </c>
      <c r="G122">
        <v>3275</v>
      </c>
      <c r="H122" t="s">
        <v>55</v>
      </c>
      <c r="I122">
        <v>2009</v>
      </c>
    </row>
    <row r="123" spans="1:9" x14ac:dyDescent="0.4">
      <c r="A123">
        <v>128</v>
      </c>
      <c r="B123" t="s">
        <v>52</v>
      </c>
      <c r="C123" t="s">
        <v>53</v>
      </c>
      <c r="D123">
        <v>41.5</v>
      </c>
      <c r="E123">
        <v>18.3</v>
      </c>
      <c r="F123">
        <v>195</v>
      </c>
      <c r="G123">
        <v>4300</v>
      </c>
      <c r="H123" t="s">
        <v>54</v>
      </c>
      <c r="I123">
        <v>2009</v>
      </c>
    </row>
    <row r="124" spans="1:9" x14ac:dyDescent="0.4">
      <c r="A124">
        <v>129</v>
      </c>
      <c r="B124" t="s">
        <v>52</v>
      </c>
      <c r="C124" t="s">
        <v>53</v>
      </c>
      <c r="D124">
        <v>39</v>
      </c>
      <c r="E124">
        <v>17.100000000000001</v>
      </c>
      <c r="F124">
        <v>191</v>
      </c>
      <c r="G124">
        <v>3050</v>
      </c>
      <c r="H124" t="s">
        <v>55</v>
      </c>
      <c r="I124">
        <v>2009</v>
      </c>
    </row>
    <row r="125" spans="1:9" x14ac:dyDescent="0.4">
      <c r="A125">
        <v>130</v>
      </c>
      <c r="B125" t="s">
        <v>52</v>
      </c>
      <c r="C125" t="s">
        <v>53</v>
      </c>
      <c r="D125">
        <v>44.1</v>
      </c>
      <c r="E125">
        <v>18</v>
      </c>
      <c r="F125">
        <v>210</v>
      </c>
      <c r="G125">
        <v>4000</v>
      </c>
      <c r="H125" t="s">
        <v>54</v>
      </c>
      <c r="I125">
        <v>2009</v>
      </c>
    </row>
    <row r="126" spans="1:9" x14ac:dyDescent="0.4">
      <c r="A126">
        <v>131</v>
      </c>
      <c r="B126" t="s">
        <v>52</v>
      </c>
      <c r="C126" t="s">
        <v>53</v>
      </c>
      <c r="D126">
        <v>38.5</v>
      </c>
      <c r="E126">
        <v>17.899999999999999</v>
      </c>
      <c r="F126">
        <v>190</v>
      </c>
      <c r="G126">
        <v>3325</v>
      </c>
      <c r="H126" t="s">
        <v>55</v>
      </c>
      <c r="I126">
        <v>2009</v>
      </c>
    </row>
    <row r="127" spans="1:9" x14ac:dyDescent="0.4">
      <c r="A127">
        <v>132</v>
      </c>
      <c r="B127" t="s">
        <v>52</v>
      </c>
      <c r="C127" t="s">
        <v>53</v>
      </c>
      <c r="D127">
        <v>43.1</v>
      </c>
      <c r="E127">
        <v>19.2</v>
      </c>
      <c r="F127">
        <v>197</v>
      </c>
      <c r="G127">
        <v>3500</v>
      </c>
      <c r="H127" t="s">
        <v>54</v>
      </c>
      <c r="I127">
        <v>2009</v>
      </c>
    </row>
    <row r="128" spans="1:9" x14ac:dyDescent="0.4">
      <c r="A128">
        <v>133</v>
      </c>
      <c r="B128" t="s">
        <v>52</v>
      </c>
      <c r="C128" t="s">
        <v>57</v>
      </c>
      <c r="D128">
        <v>36.799999999999997</v>
      </c>
      <c r="E128">
        <v>18.5</v>
      </c>
      <c r="F128">
        <v>193</v>
      </c>
      <c r="G128">
        <v>3500</v>
      </c>
      <c r="H128" t="s">
        <v>55</v>
      </c>
      <c r="I128">
        <v>2009</v>
      </c>
    </row>
    <row r="129" spans="1:9" x14ac:dyDescent="0.4">
      <c r="A129">
        <v>134</v>
      </c>
      <c r="B129" t="s">
        <v>52</v>
      </c>
      <c r="C129" t="s">
        <v>57</v>
      </c>
      <c r="D129">
        <v>37.5</v>
      </c>
      <c r="E129">
        <v>18.5</v>
      </c>
      <c r="F129">
        <v>199</v>
      </c>
      <c r="G129">
        <v>4475</v>
      </c>
      <c r="H129" t="s">
        <v>54</v>
      </c>
      <c r="I129">
        <v>2009</v>
      </c>
    </row>
    <row r="130" spans="1:9" x14ac:dyDescent="0.4">
      <c r="A130">
        <v>135</v>
      </c>
      <c r="B130" t="s">
        <v>52</v>
      </c>
      <c r="C130" t="s">
        <v>57</v>
      </c>
      <c r="D130">
        <v>38.1</v>
      </c>
      <c r="E130">
        <v>17.600000000000001</v>
      </c>
      <c r="F130">
        <v>187</v>
      </c>
      <c r="G130">
        <v>3425</v>
      </c>
      <c r="H130" t="s">
        <v>55</v>
      </c>
      <c r="I130">
        <v>2009</v>
      </c>
    </row>
    <row r="131" spans="1:9" x14ac:dyDescent="0.4">
      <c r="A131">
        <v>136</v>
      </c>
      <c r="B131" t="s">
        <v>52</v>
      </c>
      <c r="C131" t="s">
        <v>57</v>
      </c>
      <c r="D131">
        <v>41.1</v>
      </c>
      <c r="E131">
        <v>17.5</v>
      </c>
      <c r="F131">
        <v>190</v>
      </c>
      <c r="G131">
        <v>3900</v>
      </c>
      <c r="H131" t="s">
        <v>54</v>
      </c>
      <c r="I131">
        <v>2009</v>
      </c>
    </row>
    <row r="132" spans="1:9" x14ac:dyDescent="0.4">
      <c r="A132">
        <v>137</v>
      </c>
      <c r="B132" t="s">
        <v>52</v>
      </c>
      <c r="C132" t="s">
        <v>57</v>
      </c>
      <c r="D132">
        <v>35.6</v>
      </c>
      <c r="E132">
        <v>17.5</v>
      </c>
      <c r="F132">
        <v>191</v>
      </c>
      <c r="G132">
        <v>3175</v>
      </c>
      <c r="H132" t="s">
        <v>55</v>
      </c>
      <c r="I132">
        <v>2009</v>
      </c>
    </row>
    <row r="133" spans="1:9" x14ac:dyDescent="0.4">
      <c r="A133">
        <v>138</v>
      </c>
      <c r="B133" t="s">
        <v>52</v>
      </c>
      <c r="C133" t="s">
        <v>57</v>
      </c>
      <c r="D133">
        <v>40.200000000000003</v>
      </c>
      <c r="E133">
        <v>20.100000000000001</v>
      </c>
      <c r="F133">
        <v>200</v>
      </c>
      <c r="G133">
        <v>3975</v>
      </c>
      <c r="H133" t="s">
        <v>54</v>
      </c>
      <c r="I133">
        <v>2009</v>
      </c>
    </row>
    <row r="134" spans="1:9" x14ac:dyDescent="0.4">
      <c r="A134">
        <v>139</v>
      </c>
      <c r="B134" t="s">
        <v>52</v>
      </c>
      <c r="C134" t="s">
        <v>57</v>
      </c>
      <c r="D134">
        <v>37</v>
      </c>
      <c r="E134">
        <v>16.5</v>
      </c>
      <c r="F134">
        <v>185</v>
      </c>
      <c r="G134">
        <v>3400</v>
      </c>
      <c r="H134" t="s">
        <v>55</v>
      </c>
      <c r="I134">
        <v>2009</v>
      </c>
    </row>
    <row r="135" spans="1:9" x14ac:dyDescent="0.4">
      <c r="A135">
        <v>140</v>
      </c>
      <c r="B135" t="s">
        <v>52</v>
      </c>
      <c r="C135" t="s">
        <v>57</v>
      </c>
      <c r="D135">
        <v>39.700000000000003</v>
      </c>
      <c r="E135">
        <v>17.899999999999999</v>
      </c>
      <c r="F135">
        <v>193</v>
      </c>
      <c r="G135">
        <v>4250</v>
      </c>
      <c r="H135" t="s">
        <v>54</v>
      </c>
      <c r="I135">
        <v>2009</v>
      </c>
    </row>
    <row r="136" spans="1:9" x14ac:dyDescent="0.4">
      <c r="A136">
        <v>141</v>
      </c>
      <c r="B136" t="s">
        <v>52</v>
      </c>
      <c r="C136" t="s">
        <v>57</v>
      </c>
      <c r="D136">
        <v>40.200000000000003</v>
      </c>
      <c r="E136">
        <v>17.100000000000001</v>
      </c>
      <c r="F136">
        <v>193</v>
      </c>
      <c r="G136">
        <v>3400</v>
      </c>
      <c r="H136" t="s">
        <v>55</v>
      </c>
      <c r="I136">
        <v>2009</v>
      </c>
    </row>
    <row r="137" spans="1:9" x14ac:dyDescent="0.4">
      <c r="A137">
        <v>142</v>
      </c>
      <c r="B137" t="s">
        <v>52</v>
      </c>
      <c r="C137" t="s">
        <v>57</v>
      </c>
      <c r="D137">
        <v>40.6</v>
      </c>
      <c r="E137">
        <v>17.2</v>
      </c>
      <c r="F137">
        <v>187</v>
      </c>
      <c r="G137">
        <v>3475</v>
      </c>
      <c r="H137" t="s">
        <v>54</v>
      </c>
      <c r="I137">
        <v>2009</v>
      </c>
    </row>
    <row r="138" spans="1:9" x14ac:dyDescent="0.4">
      <c r="A138">
        <v>143</v>
      </c>
      <c r="B138" t="s">
        <v>52</v>
      </c>
      <c r="C138" t="s">
        <v>57</v>
      </c>
      <c r="D138">
        <v>32.1</v>
      </c>
      <c r="E138">
        <v>15.5</v>
      </c>
      <c r="F138">
        <v>188</v>
      </c>
      <c r="G138">
        <v>3050</v>
      </c>
      <c r="H138" t="s">
        <v>55</v>
      </c>
      <c r="I138">
        <v>2009</v>
      </c>
    </row>
    <row r="139" spans="1:9" x14ac:dyDescent="0.4">
      <c r="A139">
        <v>144</v>
      </c>
      <c r="B139" t="s">
        <v>52</v>
      </c>
      <c r="C139" t="s">
        <v>57</v>
      </c>
      <c r="D139">
        <v>40.700000000000003</v>
      </c>
      <c r="E139">
        <v>17</v>
      </c>
      <c r="F139">
        <v>190</v>
      </c>
      <c r="G139">
        <v>3725</v>
      </c>
      <c r="H139" t="s">
        <v>54</v>
      </c>
      <c r="I139">
        <v>2009</v>
      </c>
    </row>
    <row r="140" spans="1:9" x14ac:dyDescent="0.4">
      <c r="A140">
        <v>145</v>
      </c>
      <c r="B140" t="s">
        <v>52</v>
      </c>
      <c r="C140" t="s">
        <v>57</v>
      </c>
      <c r="D140">
        <v>37.299999999999997</v>
      </c>
      <c r="E140">
        <v>16.8</v>
      </c>
      <c r="F140">
        <v>192</v>
      </c>
      <c r="G140">
        <v>3000</v>
      </c>
      <c r="H140" t="s">
        <v>55</v>
      </c>
      <c r="I140">
        <v>2009</v>
      </c>
    </row>
    <row r="141" spans="1:9" x14ac:dyDescent="0.4">
      <c r="A141">
        <v>146</v>
      </c>
      <c r="B141" t="s">
        <v>52</v>
      </c>
      <c r="C141" t="s">
        <v>57</v>
      </c>
      <c r="D141">
        <v>39</v>
      </c>
      <c r="E141">
        <v>18.7</v>
      </c>
      <c r="F141">
        <v>185</v>
      </c>
      <c r="G141">
        <v>3650</v>
      </c>
      <c r="H141" t="s">
        <v>54</v>
      </c>
      <c r="I141">
        <v>2009</v>
      </c>
    </row>
    <row r="142" spans="1:9" x14ac:dyDescent="0.4">
      <c r="A142">
        <v>147</v>
      </c>
      <c r="B142" t="s">
        <v>52</v>
      </c>
      <c r="C142" t="s">
        <v>57</v>
      </c>
      <c r="D142">
        <v>39.200000000000003</v>
      </c>
      <c r="E142">
        <v>18.600000000000001</v>
      </c>
      <c r="F142">
        <v>190</v>
      </c>
      <c r="G142">
        <v>4250</v>
      </c>
      <c r="H142" t="s">
        <v>54</v>
      </c>
      <c r="I142">
        <v>2009</v>
      </c>
    </row>
    <row r="143" spans="1:9" x14ac:dyDescent="0.4">
      <c r="A143">
        <v>148</v>
      </c>
      <c r="B143" t="s">
        <v>52</v>
      </c>
      <c r="C143" t="s">
        <v>57</v>
      </c>
      <c r="D143">
        <v>36.6</v>
      </c>
      <c r="E143">
        <v>18.399999999999999</v>
      </c>
      <c r="F143">
        <v>184</v>
      </c>
      <c r="G143">
        <v>3475</v>
      </c>
      <c r="H143" t="s">
        <v>55</v>
      </c>
      <c r="I143">
        <v>2009</v>
      </c>
    </row>
    <row r="144" spans="1:9" x14ac:dyDescent="0.4">
      <c r="A144">
        <v>149</v>
      </c>
      <c r="B144" t="s">
        <v>52</v>
      </c>
      <c r="C144" t="s">
        <v>57</v>
      </c>
      <c r="D144">
        <v>36</v>
      </c>
      <c r="E144">
        <v>17.8</v>
      </c>
      <c r="F144">
        <v>195</v>
      </c>
      <c r="G144">
        <v>3450</v>
      </c>
      <c r="H144" t="s">
        <v>55</v>
      </c>
      <c r="I144">
        <v>2009</v>
      </c>
    </row>
    <row r="145" spans="1:9" x14ac:dyDescent="0.4">
      <c r="A145">
        <v>150</v>
      </c>
      <c r="B145" t="s">
        <v>52</v>
      </c>
      <c r="C145" t="s">
        <v>57</v>
      </c>
      <c r="D145">
        <v>37.799999999999997</v>
      </c>
      <c r="E145">
        <v>18.100000000000001</v>
      </c>
      <c r="F145">
        <v>193</v>
      </c>
      <c r="G145">
        <v>3750</v>
      </c>
      <c r="H145" t="s">
        <v>54</v>
      </c>
      <c r="I145">
        <v>2009</v>
      </c>
    </row>
    <row r="146" spans="1:9" x14ac:dyDescent="0.4">
      <c r="A146">
        <v>151</v>
      </c>
      <c r="B146" t="s">
        <v>52</v>
      </c>
      <c r="C146" t="s">
        <v>57</v>
      </c>
      <c r="D146">
        <v>36</v>
      </c>
      <c r="E146">
        <v>17.100000000000001</v>
      </c>
      <c r="F146">
        <v>187</v>
      </c>
      <c r="G146">
        <v>3700</v>
      </c>
      <c r="H146" t="s">
        <v>55</v>
      </c>
      <c r="I146">
        <v>2009</v>
      </c>
    </row>
    <row r="147" spans="1:9" x14ac:dyDescent="0.4">
      <c r="A147">
        <v>152</v>
      </c>
      <c r="B147" t="s">
        <v>52</v>
      </c>
      <c r="C147" t="s">
        <v>57</v>
      </c>
      <c r="D147">
        <v>41.5</v>
      </c>
      <c r="E147">
        <v>18.5</v>
      </c>
      <c r="F147">
        <v>201</v>
      </c>
      <c r="G147">
        <v>4000</v>
      </c>
      <c r="H147" t="s">
        <v>54</v>
      </c>
      <c r="I147">
        <v>2009</v>
      </c>
    </row>
    <row r="148" spans="1:9" x14ac:dyDescent="0.4">
      <c r="A148">
        <v>153</v>
      </c>
      <c r="B148" t="s">
        <v>58</v>
      </c>
      <c r="C148" t="s">
        <v>56</v>
      </c>
      <c r="D148">
        <v>46.1</v>
      </c>
      <c r="E148">
        <v>13.2</v>
      </c>
      <c r="F148">
        <v>211</v>
      </c>
      <c r="G148">
        <v>4500</v>
      </c>
      <c r="H148" t="s">
        <v>55</v>
      </c>
      <c r="I148">
        <v>2007</v>
      </c>
    </row>
    <row r="149" spans="1:9" x14ac:dyDescent="0.4">
      <c r="A149">
        <v>154</v>
      </c>
      <c r="B149" t="s">
        <v>58</v>
      </c>
      <c r="C149" t="s">
        <v>56</v>
      </c>
      <c r="D149">
        <v>50</v>
      </c>
      <c r="E149">
        <v>16.3</v>
      </c>
      <c r="F149">
        <v>230</v>
      </c>
      <c r="G149">
        <v>5700</v>
      </c>
      <c r="H149" t="s">
        <v>54</v>
      </c>
      <c r="I149">
        <v>2007</v>
      </c>
    </row>
    <row r="150" spans="1:9" x14ac:dyDescent="0.4">
      <c r="A150">
        <v>155</v>
      </c>
      <c r="B150" t="s">
        <v>58</v>
      </c>
      <c r="C150" t="s">
        <v>56</v>
      </c>
      <c r="D150">
        <v>48.7</v>
      </c>
      <c r="E150">
        <v>14.1</v>
      </c>
      <c r="F150">
        <v>210</v>
      </c>
      <c r="G150">
        <v>4450</v>
      </c>
      <c r="H150" t="s">
        <v>55</v>
      </c>
      <c r="I150">
        <v>2007</v>
      </c>
    </row>
    <row r="151" spans="1:9" x14ac:dyDescent="0.4">
      <c r="A151">
        <v>156</v>
      </c>
      <c r="B151" t="s">
        <v>58</v>
      </c>
      <c r="C151" t="s">
        <v>56</v>
      </c>
      <c r="D151">
        <v>50</v>
      </c>
      <c r="E151">
        <v>15.2</v>
      </c>
      <c r="F151">
        <v>218</v>
      </c>
      <c r="G151">
        <v>5700</v>
      </c>
      <c r="H151" t="s">
        <v>54</v>
      </c>
      <c r="I151">
        <v>2007</v>
      </c>
    </row>
    <row r="152" spans="1:9" x14ac:dyDescent="0.4">
      <c r="A152">
        <v>157</v>
      </c>
      <c r="B152" t="s">
        <v>58</v>
      </c>
      <c r="C152" t="s">
        <v>56</v>
      </c>
      <c r="D152">
        <v>47.6</v>
      </c>
      <c r="E152">
        <v>14.5</v>
      </c>
      <c r="F152">
        <v>215</v>
      </c>
      <c r="G152">
        <v>5400</v>
      </c>
      <c r="H152" t="s">
        <v>54</v>
      </c>
      <c r="I152">
        <v>2007</v>
      </c>
    </row>
    <row r="153" spans="1:9" x14ac:dyDescent="0.4">
      <c r="A153">
        <v>158</v>
      </c>
      <c r="B153" t="s">
        <v>58</v>
      </c>
      <c r="C153" t="s">
        <v>56</v>
      </c>
      <c r="D153">
        <v>46.5</v>
      </c>
      <c r="E153">
        <v>13.5</v>
      </c>
      <c r="F153">
        <v>210</v>
      </c>
      <c r="G153">
        <v>4550</v>
      </c>
      <c r="H153" t="s">
        <v>55</v>
      </c>
      <c r="I153">
        <v>2007</v>
      </c>
    </row>
    <row r="154" spans="1:9" x14ac:dyDescent="0.4">
      <c r="A154">
        <v>159</v>
      </c>
      <c r="B154" t="s">
        <v>58</v>
      </c>
      <c r="C154" t="s">
        <v>56</v>
      </c>
      <c r="D154">
        <v>45.4</v>
      </c>
      <c r="E154">
        <v>14.6</v>
      </c>
      <c r="F154">
        <v>211</v>
      </c>
      <c r="G154">
        <v>4800</v>
      </c>
      <c r="H154" t="s">
        <v>55</v>
      </c>
      <c r="I154">
        <v>2007</v>
      </c>
    </row>
    <row r="155" spans="1:9" x14ac:dyDescent="0.4">
      <c r="A155">
        <v>160</v>
      </c>
      <c r="B155" t="s">
        <v>58</v>
      </c>
      <c r="C155" t="s">
        <v>56</v>
      </c>
      <c r="D155">
        <v>46.7</v>
      </c>
      <c r="E155">
        <v>15.3</v>
      </c>
      <c r="F155">
        <v>219</v>
      </c>
      <c r="G155">
        <v>5200</v>
      </c>
      <c r="H155" t="s">
        <v>54</v>
      </c>
      <c r="I155">
        <v>2007</v>
      </c>
    </row>
    <row r="156" spans="1:9" x14ac:dyDescent="0.4">
      <c r="A156">
        <v>161</v>
      </c>
      <c r="B156" t="s">
        <v>58</v>
      </c>
      <c r="C156" t="s">
        <v>56</v>
      </c>
      <c r="D156">
        <v>43.3</v>
      </c>
      <c r="E156">
        <v>13.4</v>
      </c>
      <c r="F156">
        <v>209</v>
      </c>
      <c r="G156">
        <v>4400</v>
      </c>
      <c r="H156" t="s">
        <v>55</v>
      </c>
      <c r="I156">
        <v>2007</v>
      </c>
    </row>
    <row r="157" spans="1:9" x14ac:dyDescent="0.4">
      <c r="A157">
        <v>162</v>
      </c>
      <c r="B157" t="s">
        <v>58</v>
      </c>
      <c r="C157" t="s">
        <v>56</v>
      </c>
      <c r="D157">
        <v>46.8</v>
      </c>
      <c r="E157">
        <v>15.4</v>
      </c>
      <c r="F157">
        <v>215</v>
      </c>
      <c r="G157">
        <v>5150</v>
      </c>
      <c r="H157" t="s">
        <v>54</v>
      </c>
      <c r="I157">
        <v>2007</v>
      </c>
    </row>
    <row r="158" spans="1:9" x14ac:dyDescent="0.4">
      <c r="A158">
        <v>163</v>
      </c>
      <c r="B158" t="s">
        <v>58</v>
      </c>
      <c r="C158" t="s">
        <v>56</v>
      </c>
      <c r="D158">
        <v>40.9</v>
      </c>
      <c r="E158">
        <v>13.7</v>
      </c>
      <c r="F158">
        <v>214</v>
      </c>
      <c r="G158">
        <v>4650</v>
      </c>
      <c r="H158" t="s">
        <v>55</v>
      </c>
      <c r="I158">
        <v>2007</v>
      </c>
    </row>
    <row r="159" spans="1:9" x14ac:dyDescent="0.4">
      <c r="A159">
        <v>164</v>
      </c>
      <c r="B159" t="s">
        <v>58</v>
      </c>
      <c r="C159" t="s">
        <v>56</v>
      </c>
      <c r="D159">
        <v>49</v>
      </c>
      <c r="E159">
        <v>16.100000000000001</v>
      </c>
      <c r="F159">
        <v>216</v>
      </c>
      <c r="G159">
        <v>5550</v>
      </c>
      <c r="H159" t="s">
        <v>54</v>
      </c>
      <c r="I159">
        <v>2007</v>
      </c>
    </row>
    <row r="160" spans="1:9" x14ac:dyDescent="0.4">
      <c r="A160">
        <v>165</v>
      </c>
      <c r="B160" t="s">
        <v>58</v>
      </c>
      <c r="C160" t="s">
        <v>56</v>
      </c>
      <c r="D160">
        <v>45.5</v>
      </c>
      <c r="E160">
        <v>13.7</v>
      </c>
      <c r="F160">
        <v>214</v>
      </c>
      <c r="G160">
        <v>4650</v>
      </c>
      <c r="H160" t="s">
        <v>55</v>
      </c>
      <c r="I160">
        <v>2007</v>
      </c>
    </row>
    <row r="161" spans="1:9" x14ac:dyDescent="0.4">
      <c r="A161">
        <v>166</v>
      </c>
      <c r="B161" t="s">
        <v>58</v>
      </c>
      <c r="C161" t="s">
        <v>56</v>
      </c>
      <c r="D161">
        <v>48.4</v>
      </c>
      <c r="E161">
        <v>14.6</v>
      </c>
      <c r="F161">
        <v>213</v>
      </c>
      <c r="G161">
        <v>5850</v>
      </c>
      <c r="H161" t="s">
        <v>54</v>
      </c>
      <c r="I161">
        <v>2007</v>
      </c>
    </row>
    <row r="162" spans="1:9" x14ac:dyDescent="0.4">
      <c r="A162">
        <v>167</v>
      </c>
      <c r="B162" t="s">
        <v>58</v>
      </c>
      <c r="C162" t="s">
        <v>56</v>
      </c>
      <c r="D162">
        <v>45.8</v>
      </c>
      <c r="E162">
        <v>14.6</v>
      </c>
      <c r="F162">
        <v>210</v>
      </c>
      <c r="G162">
        <v>4200</v>
      </c>
      <c r="H162" t="s">
        <v>55</v>
      </c>
      <c r="I162">
        <v>2007</v>
      </c>
    </row>
    <row r="163" spans="1:9" x14ac:dyDescent="0.4">
      <c r="A163">
        <v>168</v>
      </c>
      <c r="B163" t="s">
        <v>58</v>
      </c>
      <c r="C163" t="s">
        <v>56</v>
      </c>
      <c r="D163">
        <v>49.3</v>
      </c>
      <c r="E163">
        <v>15.7</v>
      </c>
      <c r="F163">
        <v>217</v>
      </c>
      <c r="G163">
        <v>5850</v>
      </c>
      <c r="H163" t="s">
        <v>54</v>
      </c>
      <c r="I163">
        <v>2007</v>
      </c>
    </row>
    <row r="164" spans="1:9" x14ac:dyDescent="0.4">
      <c r="A164">
        <v>169</v>
      </c>
      <c r="B164" t="s">
        <v>58</v>
      </c>
      <c r="C164" t="s">
        <v>56</v>
      </c>
      <c r="D164">
        <v>42</v>
      </c>
      <c r="E164">
        <v>13.5</v>
      </c>
      <c r="F164">
        <v>210</v>
      </c>
      <c r="G164">
        <v>4150</v>
      </c>
      <c r="H164" t="s">
        <v>55</v>
      </c>
      <c r="I164">
        <v>2007</v>
      </c>
    </row>
    <row r="165" spans="1:9" x14ac:dyDescent="0.4">
      <c r="A165">
        <v>170</v>
      </c>
      <c r="B165" t="s">
        <v>58</v>
      </c>
      <c r="C165" t="s">
        <v>56</v>
      </c>
      <c r="D165">
        <v>49.2</v>
      </c>
      <c r="E165">
        <v>15.2</v>
      </c>
      <c r="F165">
        <v>221</v>
      </c>
      <c r="G165">
        <v>6300</v>
      </c>
      <c r="H165" t="s">
        <v>54</v>
      </c>
      <c r="I165">
        <v>2007</v>
      </c>
    </row>
    <row r="166" spans="1:9" x14ac:dyDescent="0.4">
      <c r="A166">
        <v>171</v>
      </c>
      <c r="B166" t="s">
        <v>58</v>
      </c>
      <c r="C166" t="s">
        <v>56</v>
      </c>
      <c r="D166">
        <v>46.2</v>
      </c>
      <c r="E166">
        <v>14.5</v>
      </c>
      <c r="F166">
        <v>209</v>
      </c>
      <c r="G166">
        <v>4800</v>
      </c>
      <c r="H166" t="s">
        <v>55</v>
      </c>
      <c r="I166">
        <v>2007</v>
      </c>
    </row>
    <row r="167" spans="1:9" x14ac:dyDescent="0.4">
      <c r="A167">
        <v>172</v>
      </c>
      <c r="B167" t="s">
        <v>58</v>
      </c>
      <c r="C167" t="s">
        <v>56</v>
      </c>
      <c r="D167">
        <v>48.7</v>
      </c>
      <c r="E167">
        <v>15.1</v>
      </c>
      <c r="F167">
        <v>222</v>
      </c>
      <c r="G167">
        <v>5350</v>
      </c>
      <c r="H167" t="s">
        <v>54</v>
      </c>
      <c r="I167">
        <v>2007</v>
      </c>
    </row>
    <row r="168" spans="1:9" x14ac:dyDescent="0.4">
      <c r="A168">
        <v>173</v>
      </c>
      <c r="B168" t="s">
        <v>58</v>
      </c>
      <c r="C168" t="s">
        <v>56</v>
      </c>
      <c r="D168">
        <v>50.2</v>
      </c>
      <c r="E168">
        <v>14.3</v>
      </c>
      <c r="F168">
        <v>218</v>
      </c>
      <c r="G168">
        <v>5700</v>
      </c>
      <c r="H168" t="s">
        <v>54</v>
      </c>
      <c r="I168">
        <v>2007</v>
      </c>
    </row>
    <row r="169" spans="1:9" x14ac:dyDescent="0.4">
      <c r="A169">
        <v>174</v>
      </c>
      <c r="B169" t="s">
        <v>58</v>
      </c>
      <c r="C169" t="s">
        <v>56</v>
      </c>
      <c r="D169">
        <v>45.1</v>
      </c>
      <c r="E169">
        <v>14.5</v>
      </c>
      <c r="F169">
        <v>215</v>
      </c>
      <c r="G169">
        <v>5000</v>
      </c>
      <c r="H169" t="s">
        <v>55</v>
      </c>
      <c r="I169">
        <v>2007</v>
      </c>
    </row>
    <row r="170" spans="1:9" x14ac:dyDescent="0.4">
      <c r="A170">
        <v>175</v>
      </c>
      <c r="B170" t="s">
        <v>58</v>
      </c>
      <c r="C170" t="s">
        <v>56</v>
      </c>
      <c r="D170">
        <v>46.5</v>
      </c>
      <c r="E170">
        <v>14.5</v>
      </c>
      <c r="F170">
        <v>213</v>
      </c>
      <c r="G170">
        <v>4400</v>
      </c>
      <c r="H170" t="s">
        <v>55</v>
      </c>
      <c r="I170">
        <v>2007</v>
      </c>
    </row>
    <row r="171" spans="1:9" x14ac:dyDescent="0.4">
      <c r="A171">
        <v>176</v>
      </c>
      <c r="B171" t="s">
        <v>58</v>
      </c>
      <c r="C171" t="s">
        <v>56</v>
      </c>
      <c r="D171">
        <v>46.3</v>
      </c>
      <c r="E171">
        <v>15.8</v>
      </c>
      <c r="F171">
        <v>215</v>
      </c>
      <c r="G171">
        <v>5050</v>
      </c>
      <c r="H171" t="s">
        <v>54</v>
      </c>
      <c r="I171">
        <v>2007</v>
      </c>
    </row>
    <row r="172" spans="1:9" x14ac:dyDescent="0.4">
      <c r="A172">
        <v>177</v>
      </c>
      <c r="B172" t="s">
        <v>58</v>
      </c>
      <c r="C172" t="s">
        <v>56</v>
      </c>
      <c r="D172">
        <v>42.9</v>
      </c>
      <c r="E172">
        <v>13.1</v>
      </c>
      <c r="F172">
        <v>215</v>
      </c>
      <c r="G172">
        <v>5000</v>
      </c>
      <c r="H172" t="s">
        <v>55</v>
      </c>
      <c r="I172">
        <v>2007</v>
      </c>
    </row>
    <row r="173" spans="1:9" x14ac:dyDescent="0.4">
      <c r="A173">
        <v>178</v>
      </c>
      <c r="B173" t="s">
        <v>58</v>
      </c>
      <c r="C173" t="s">
        <v>56</v>
      </c>
      <c r="D173">
        <v>46.1</v>
      </c>
      <c r="E173">
        <v>15.1</v>
      </c>
      <c r="F173">
        <v>215</v>
      </c>
      <c r="G173">
        <v>5100</v>
      </c>
      <c r="H173" t="s">
        <v>54</v>
      </c>
      <c r="I173">
        <v>2007</v>
      </c>
    </row>
    <row r="174" spans="1:9" x14ac:dyDescent="0.4">
      <c r="A174">
        <v>180</v>
      </c>
      <c r="B174" t="s">
        <v>58</v>
      </c>
      <c r="C174" t="s">
        <v>56</v>
      </c>
      <c r="D174">
        <v>47.8</v>
      </c>
      <c r="E174">
        <v>15</v>
      </c>
      <c r="F174">
        <v>215</v>
      </c>
      <c r="G174">
        <v>5650</v>
      </c>
      <c r="H174" t="s">
        <v>54</v>
      </c>
      <c r="I174">
        <v>2007</v>
      </c>
    </row>
    <row r="175" spans="1:9" x14ac:dyDescent="0.4">
      <c r="A175">
        <v>181</v>
      </c>
      <c r="B175" t="s">
        <v>58</v>
      </c>
      <c r="C175" t="s">
        <v>56</v>
      </c>
      <c r="D175">
        <v>48.2</v>
      </c>
      <c r="E175">
        <v>14.3</v>
      </c>
      <c r="F175">
        <v>210</v>
      </c>
      <c r="G175">
        <v>4600</v>
      </c>
      <c r="H175" t="s">
        <v>55</v>
      </c>
      <c r="I175">
        <v>2007</v>
      </c>
    </row>
    <row r="176" spans="1:9" x14ac:dyDescent="0.4">
      <c r="A176">
        <v>182</v>
      </c>
      <c r="B176" t="s">
        <v>58</v>
      </c>
      <c r="C176" t="s">
        <v>56</v>
      </c>
      <c r="D176">
        <v>50</v>
      </c>
      <c r="E176">
        <v>15.3</v>
      </c>
      <c r="F176">
        <v>220</v>
      </c>
      <c r="G176">
        <v>5550</v>
      </c>
      <c r="H176" t="s">
        <v>54</v>
      </c>
      <c r="I176">
        <v>2007</v>
      </c>
    </row>
    <row r="177" spans="1:9" x14ac:dyDescent="0.4">
      <c r="A177">
        <v>183</v>
      </c>
      <c r="B177" t="s">
        <v>58</v>
      </c>
      <c r="C177" t="s">
        <v>56</v>
      </c>
      <c r="D177">
        <v>47.3</v>
      </c>
      <c r="E177">
        <v>15.3</v>
      </c>
      <c r="F177">
        <v>222</v>
      </c>
      <c r="G177">
        <v>5250</v>
      </c>
      <c r="H177" t="s">
        <v>54</v>
      </c>
      <c r="I177">
        <v>2007</v>
      </c>
    </row>
    <row r="178" spans="1:9" x14ac:dyDescent="0.4">
      <c r="A178">
        <v>184</v>
      </c>
      <c r="B178" t="s">
        <v>58</v>
      </c>
      <c r="C178" t="s">
        <v>56</v>
      </c>
      <c r="D178">
        <v>42.8</v>
      </c>
      <c r="E178">
        <v>14.2</v>
      </c>
      <c r="F178">
        <v>209</v>
      </c>
      <c r="G178">
        <v>4700</v>
      </c>
      <c r="H178" t="s">
        <v>55</v>
      </c>
      <c r="I178">
        <v>2007</v>
      </c>
    </row>
    <row r="179" spans="1:9" x14ac:dyDescent="0.4">
      <c r="A179">
        <v>185</v>
      </c>
      <c r="B179" t="s">
        <v>58</v>
      </c>
      <c r="C179" t="s">
        <v>56</v>
      </c>
      <c r="D179">
        <v>45.1</v>
      </c>
      <c r="E179">
        <v>14.5</v>
      </c>
      <c r="F179">
        <v>207</v>
      </c>
      <c r="G179">
        <v>5050</v>
      </c>
      <c r="H179" t="s">
        <v>55</v>
      </c>
      <c r="I179">
        <v>2007</v>
      </c>
    </row>
    <row r="180" spans="1:9" x14ac:dyDescent="0.4">
      <c r="A180">
        <v>186</v>
      </c>
      <c r="B180" t="s">
        <v>58</v>
      </c>
      <c r="C180" t="s">
        <v>56</v>
      </c>
      <c r="D180">
        <v>59.6</v>
      </c>
      <c r="E180">
        <v>17</v>
      </c>
      <c r="F180">
        <v>230</v>
      </c>
      <c r="G180">
        <v>6050</v>
      </c>
      <c r="H180" t="s">
        <v>54</v>
      </c>
      <c r="I180">
        <v>2007</v>
      </c>
    </row>
    <row r="181" spans="1:9" x14ac:dyDescent="0.4">
      <c r="A181">
        <v>187</v>
      </c>
      <c r="B181" t="s">
        <v>58</v>
      </c>
      <c r="C181" t="s">
        <v>56</v>
      </c>
      <c r="D181">
        <v>49.1</v>
      </c>
      <c r="E181">
        <v>14.8</v>
      </c>
      <c r="F181">
        <v>220</v>
      </c>
      <c r="G181">
        <v>5150</v>
      </c>
      <c r="H181" t="s">
        <v>55</v>
      </c>
      <c r="I181">
        <v>2008</v>
      </c>
    </row>
    <row r="182" spans="1:9" x14ac:dyDescent="0.4">
      <c r="A182">
        <v>188</v>
      </c>
      <c r="B182" t="s">
        <v>58</v>
      </c>
      <c r="C182" t="s">
        <v>56</v>
      </c>
      <c r="D182">
        <v>48.4</v>
      </c>
      <c r="E182">
        <v>16.3</v>
      </c>
      <c r="F182">
        <v>220</v>
      </c>
      <c r="G182">
        <v>5400</v>
      </c>
      <c r="H182" t="s">
        <v>54</v>
      </c>
      <c r="I182">
        <v>2008</v>
      </c>
    </row>
    <row r="183" spans="1:9" x14ac:dyDescent="0.4">
      <c r="A183">
        <v>189</v>
      </c>
      <c r="B183" t="s">
        <v>58</v>
      </c>
      <c r="C183" t="s">
        <v>56</v>
      </c>
      <c r="D183">
        <v>42.6</v>
      </c>
      <c r="E183">
        <v>13.7</v>
      </c>
      <c r="F183">
        <v>213</v>
      </c>
      <c r="G183">
        <v>4950</v>
      </c>
      <c r="H183" t="s">
        <v>55</v>
      </c>
      <c r="I183">
        <v>2008</v>
      </c>
    </row>
    <row r="184" spans="1:9" x14ac:dyDescent="0.4">
      <c r="A184">
        <v>190</v>
      </c>
      <c r="B184" t="s">
        <v>58</v>
      </c>
      <c r="C184" t="s">
        <v>56</v>
      </c>
      <c r="D184">
        <v>44.4</v>
      </c>
      <c r="E184">
        <v>17.3</v>
      </c>
      <c r="F184">
        <v>219</v>
      </c>
      <c r="G184">
        <v>5250</v>
      </c>
      <c r="H184" t="s">
        <v>54</v>
      </c>
      <c r="I184">
        <v>2008</v>
      </c>
    </row>
    <row r="185" spans="1:9" x14ac:dyDescent="0.4">
      <c r="A185">
        <v>191</v>
      </c>
      <c r="B185" t="s">
        <v>58</v>
      </c>
      <c r="C185" t="s">
        <v>56</v>
      </c>
      <c r="D185">
        <v>44</v>
      </c>
      <c r="E185">
        <v>13.6</v>
      </c>
      <c r="F185">
        <v>208</v>
      </c>
      <c r="G185">
        <v>4350</v>
      </c>
      <c r="H185" t="s">
        <v>55</v>
      </c>
      <c r="I185">
        <v>2008</v>
      </c>
    </row>
    <row r="186" spans="1:9" x14ac:dyDescent="0.4">
      <c r="A186">
        <v>192</v>
      </c>
      <c r="B186" t="s">
        <v>58</v>
      </c>
      <c r="C186" t="s">
        <v>56</v>
      </c>
      <c r="D186">
        <v>48.7</v>
      </c>
      <c r="E186">
        <v>15.7</v>
      </c>
      <c r="F186">
        <v>208</v>
      </c>
      <c r="G186">
        <v>5350</v>
      </c>
      <c r="H186" t="s">
        <v>54</v>
      </c>
      <c r="I186">
        <v>2008</v>
      </c>
    </row>
    <row r="187" spans="1:9" x14ac:dyDescent="0.4">
      <c r="A187">
        <v>193</v>
      </c>
      <c r="B187" t="s">
        <v>58</v>
      </c>
      <c r="C187" t="s">
        <v>56</v>
      </c>
      <c r="D187">
        <v>42.7</v>
      </c>
      <c r="E187">
        <v>13.7</v>
      </c>
      <c r="F187">
        <v>208</v>
      </c>
      <c r="G187">
        <v>3950</v>
      </c>
      <c r="H187" t="s">
        <v>55</v>
      </c>
      <c r="I187">
        <v>2008</v>
      </c>
    </row>
    <row r="188" spans="1:9" x14ac:dyDescent="0.4">
      <c r="A188">
        <v>194</v>
      </c>
      <c r="B188" t="s">
        <v>58</v>
      </c>
      <c r="C188" t="s">
        <v>56</v>
      </c>
      <c r="D188">
        <v>49.6</v>
      </c>
      <c r="E188">
        <v>16</v>
      </c>
      <c r="F188">
        <v>225</v>
      </c>
      <c r="G188">
        <v>5700</v>
      </c>
      <c r="H188" t="s">
        <v>54</v>
      </c>
      <c r="I188">
        <v>2008</v>
      </c>
    </row>
    <row r="189" spans="1:9" x14ac:dyDescent="0.4">
      <c r="A189">
        <v>195</v>
      </c>
      <c r="B189" t="s">
        <v>58</v>
      </c>
      <c r="C189" t="s">
        <v>56</v>
      </c>
      <c r="D189">
        <v>45.3</v>
      </c>
      <c r="E189">
        <v>13.7</v>
      </c>
      <c r="F189">
        <v>210</v>
      </c>
      <c r="G189">
        <v>4300</v>
      </c>
      <c r="H189" t="s">
        <v>55</v>
      </c>
      <c r="I189">
        <v>2008</v>
      </c>
    </row>
    <row r="190" spans="1:9" x14ac:dyDescent="0.4">
      <c r="A190">
        <v>196</v>
      </c>
      <c r="B190" t="s">
        <v>58</v>
      </c>
      <c r="C190" t="s">
        <v>56</v>
      </c>
      <c r="D190">
        <v>49.6</v>
      </c>
      <c r="E190">
        <v>15</v>
      </c>
      <c r="F190">
        <v>216</v>
      </c>
      <c r="G190">
        <v>4750</v>
      </c>
      <c r="H190" t="s">
        <v>54</v>
      </c>
      <c r="I190">
        <v>2008</v>
      </c>
    </row>
    <row r="191" spans="1:9" x14ac:dyDescent="0.4">
      <c r="A191">
        <v>197</v>
      </c>
      <c r="B191" t="s">
        <v>58</v>
      </c>
      <c r="C191" t="s">
        <v>56</v>
      </c>
      <c r="D191">
        <v>50.5</v>
      </c>
      <c r="E191">
        <v>15.9</v>
      </c>
      <c r="F191">
        <v>222</v>
      </c>
      <c r="G191">
        <v>5550</v>
      </c>
      <c r="H191" t="s">
        <v>54</v>
      </c>
      <c r="I191">
        <v>2008</v>
      </c>
    </row>
    <row r="192" spans="1:9" x14ac:dyDescent="0.4">
      <c r="A192">
        <v>198</v>
      </c>
      <c r="B192" t="s">
        <v>58</v>
      </c>
      <c r="C192" t="s">
        <v>56</v>
      </c>
      <c r="D192">
        <v>43.6</v>
      </c>
      <c r="E192">
        <v>13.9</v>
      </c>
      <c r="F192">
        <v>217</v>
      </c>
      <c r="G192">
        <v>4900</v>
      </c>
      <c r="H192" t="s">
        <v>55</v>
      </c>
      <c r="I192">
        <v>2008</v>
      </c>
    </row>
    <row r="193" spans="1:9" x14ac:dyDescent="0.4">
      <c r="A193">
        <v>199</v>
      </c>
      <c r="B193" t="s">
        <v>58</v>
      </c>
      <c r="C193" t="s">
        <v>56</v>
      </c>
      <c r="D193">
        <v>45.5</v>
      </c>
      <c r="E193">
        <v>13.9</v>
      </c>
      <c r="F193">
        <v>210</v>
      </c>
      <c r="G193">
        <v>4200</v>
      </c>
      <c r="H193" t="s">
        <v>55</v>
      </c>
      <c r="I193">
        <v>2008</v>
      </c>
    </row>
    <row r="194" spans="1:9" x14ac:dyDescent="0.4">
      <c r="A194">
        <v>200</v>
      </c>
      <c r="B194" t="s">
        <v>58</v>
      </c>
      <c r="C194" t="s">
        <v>56</v>
      </c>
      <c r="D194">
        <v>50.5</v>
      </c>
      <c r="E194">
        <v>15.9</v>
      </c>
      <c r="F194">
        <v>225</v>
      </c>
      <c r="G194">
        <v>5400</v>
      </c>
      <c r="H194" t="s">
        <v>54</v>
      </c>
      <c r="I194">
        <v>2008</v>
      </c>
    </row>
    <row r="195" spans="1:9" x14ac:dyDescent="0.4">
      <c r="A195">
        <v>201</v>
      </c>
      <c r="B195" t="s">
        <v>58</v>
      </c>
      <c r="C195" t="s">
        <v>56</v>
      </c>
      <c r="D195">
        <v>44.9</v>
      </c>
      <c r="E195">
        <v>13.3</v>
      </c>
      <c r="F195">
        <v>213</v>
      </c>
      <c r="G195">
        <v>5100</v>
      </c>
      <c r="H195" t="s">
        <v>55</v>
      </c>
      <c r="I195">
        <v>2008</v>
      </c>
    </row>
    <row r="196" spans="1:9" x14ac:dyDescent="0.4">
      <c r="A196">
        <v>202</v>
      </c>
      <c r="B196" t="s">
        <v>58</v>
      </c>
      <c r="C196" t="s">
        <v>56</v>
      </c>
      <c r="D196">
        <v>45.2</v>
      </c>
      <c r="E196">
        <v>15.8</v>
      </c>
      <c r="F196">
        <v>215</v>
      </c>
      <c r="G196">
        <v>5300</v>
      </c>
      <c r="H196" t="s">
        <v>54</v>
      </c>
      <c r="I196">
        <v>2008</v>
      </c>
    </row>
    <row r="197" spans="1:9" x14ac:dyDescent="0.4">
      <c r="A197">
        <v>203</v>
      </c>
      <c r="B197" t="s">
        <v>58</v>
      </c>
      <c r="C197" t="s">
        <v>56</v>
      </c>
      <c r="D197">
        <v>46.6</v>
      </c>
      <c r="E197">
        <v>14.2</v>
      </c>
      <c r="F197">
        <v>210</v>
      </c>
      <c r="G197">
        <v>4850</v>
      </c>
      <c r="H197" t="s">
        <v>55</v>
      </c>
      <c r="I197">
        <v>2008</v>
      </c>
    </row>
    <row r="198" spans="1:9" x14ac:dyDescent="0.4">
      <c r="A198">
        <v>204</v>
      </c>
      <c r="B198" t="s">
        <v>58</v>
      </c>
      <c r="C198" t="s">
        <v>56</v>
      </c>
      <c r="D198">
        <v>48.5</v>
      </c>
      <c r="E198">
        <v>14.1</v>
      </c>
      <c r="F198">
        <v>220</v>
      </c>
      <c r="G198">
        <v>5300</v>
      </c>
      <c r="H198" t="s">
        <v>54</v>
      </c>
      <c r="I198">
        <v>2008</v>
      </c>
    </row>
    <row r="199" spans="1:9" x14ac:dyDescent="0.4">
      <c r="A199">
        <v>205</v>
      </c>
      <c r="B199" t="s">
        <v>58</v>
      </c>
      <c r="C199" t="s">
        <v>56</v>
      </c>
      <c r="D199">
        <v>45.1</v>
      </c>
      <c r="E199">
        <v>14.4</v>
      </c>
      <c r="F199">
        <v>210</v>
      </c>
      <c r="G199">
        <v>4400</v>
      </c>
      <c r="H199" t="s">
        <v>55</v>
      </c>
      <c r="I199">
        <v>2008</v>
      </c>
    </row>
    <row r="200" spans="1:9" x14ac:dyDescent="0.4">
      <c r="A200">
        <v>206</v>
      </c>
      <c r="B200" t="s">
        <v>58</v>
      </c>
      <c r="C200" t="s">
        <v>56</v>
      </c>
      <c r="D200">
        <v>50.1</v>
      </c>
      <c r="E200">
        <v>15</v>
      </c>
      <c r="F200">
        <v>225</v>
      </c>
      <c r="G200">
        <v>5000</v>
      </c>
      <c r="H200" t="s">
        <v>54</v>
      </c>
      <c r="I200">
        <v>2008</v>
      </c>
    </row>
    <row r="201" spans="1:9" x14ac:dyDescent="0.4">
      <c r="A201">
        <v>207</v>
      </c>
      <c r="B201" t="s">
        <v>58</v>
      </c>
      <c r="C201" t="s">
        <v>56</v>
      </c>
      <c r="D201">
        <v>46.5</v>
      </c>
      <c r="E201">
        <v>14.4</v>
      </c>
      <c r="F201">
        <v>217</v>
      </c>
      <c r="G201">
        <v>4900</v>
      </c>
      <c r="H201" t="s">
        <v>55</v>
      </c>
      <c r="I201">
        <v>2008</v>
      </c>
    </row>
    <row r="202" spans="1:9" x14ac:dyDescent="0.4">
      <c r="A202">
        <v>208</v>
      </c>
      <c r="B202" t="s">
        <v>58</v>
      </c>
      <c r="C202" t="s">
        <v>56</v>
      </c>
      <c r="D202">
        <v>45</v>
      </c>
      <c r="E202">
        <v>15.4</v>
      </c>
      <c r="F202">
        <v>220</v>
      </c>
      <c r="G202">
        <v>5050</v>
      </c>
      <c r="H202" t="s">
        <v>54</v>
      </c>
      <c r="I202">
        <v>2008</v>
      </c>
    </row>
    <row r="203" spans="1:9" x14ac:dyDescent="0.4">
      <c r="A203">
        <v>209</v>
      </c>
      <c r="B203" t="s">
        <v>58</v>
      </c>
      <c r="C203" t="s">
        <v>56</v>
      </c>
      <c r="D203">
        <v>43.8</v>
      </c>
      <c r="E203">
        <v>13.9</v>
      </c>
      <c r="F203">
        <v>208</v>
      </c>
      <c r="G203">
        <v>4300</v>
      </c>
      <c r="H203" t="s">
        <v>55</v>
      </c>
      <c r="I203">
        <v>2008</v>
      </c>
    </row>
    <row r="204" spans="1:9" x14ac:dyDescent="0.4">
      <c r="A204">
        <v>210</v>
      </c>
      <c r="B204" t="s">
        <v>58</v>
      </c>
      <c r="C204" t="s">
        <v>56</v>
      </c>
      <c r="D204">
        <v>45.5</v>
      </c>
      <c r="E204">
        <v>15</v>
      </c>
      <c r="F204">
        <v>220</v>
      </c>
      <c r="G204">
        <v>5000</v>
      </c>
      <c r="H204" t="s">
        <v>54</v>
      </c>
      <c r="I204">
        <v>2008</v>
      </c>
    </row>
    <row r="205" spans="1:9" x14ac:dyDescent="0.4">
      <c r="A205">
        <v>211</v>
      </c>
      <c r="B205" t="s">
        <v>58</v>
      </c>
      <c r="C205" t="s">
        <v>56</v>
      </c>
      <c r="D205">
        <v>43.2</v>
      </c>
      <c r="E205">
        <v>14.5</v>
      </c>
      <c r="F205">
        <v>208</v>
      </c>
      <c r="G205">
        <v>4450</v>
      </c>
      <c r="H205" t="s">
        <v>55</v>
      </c>
      <c r="I205">
        <v>2008</v>
      </c>
    </row>
    <row r="206" spans="1:9" x14ac:dyDescent="0.4">
      <c r="A206">
        <v>212</v>
      </c>
      <c r="B206" t="s">
        <v>58</v>
      </c>
      <c r="C206" t="s">
        <v>56</v>
      </c>
      <c r="D206">
        <v>50.4</v>
      </c>
      <c r="E206">
        <v>15.3</v>
      </c>
      <c r="F206">
        <v>224</v>
      </c>
      <c r="G206">
        <v>5550</v>
      </c>
      <c r="H206" t="s">
        <v>54</v>
      </c>
      <c r="I206">
        <v>2008</v>
      </c>
    </row>
    <row r="207" spans="1:9" x14ac:dyDescent="0.4">
      <c r="A207">
        <v>213</v>
      </c>
      <c r="B207" t="s">
        <v>58</v>
      </c>
      <c r="C207" t="s">
        <v>56</v>
      </c>
      <c r="D207">
        <v>45.3</v>
      </c>
      <c r="E207">
        <v>13.8</v>
      </c>
      <c r="F207">
        <v>208</v>
      </c>
      <c r="G207">
        <v>4200</v>
      </c>
      <c r="H207" t="s">
        <v>55</v>
      </c>
      <c r="I207">
        <v>2008</v>
      </c>
    </row>
    <row r="208" spans="1:9" x14ac:dyDescent="0.4">
      <c r="A208">
        <v>214</v>
      </c>
      <c r="B208" t="s">
        <v>58</v>
      </c>
      <c r="C208" t="s">
        <v>56</v>
      </c>
      <c r="D208">
        <v>46.2</v>
      </c>
      <c r="E208">
        <v>14.9</v>
      </c>
      <c r="F208">
        <v>221</v>
      </c>
      <c r="G208">
        <v>5300</v>
      </c>
      <c r="H208" t="s">
        <v>54</v>
      </c>
      <c r="I208">
        <v>2008</v>
      </c>
    </row>
    <row r="209" spans="1:9" x14ac:dyDescent="0.4">
      <c r="A209">
        <v>215</v>
      </c>
      <c r="B209" t="s">
        <v>58</v>
      </c>
      <c r="C209" t="s">
        <v>56</v>
      </c>
      <c r="D209">
        <v>45.7</v>
      </c>
      <c r="E209">
        <v>13.9</v>
      </c>
      <c r="F209">
        <v>214</v>
      </c>
      <c r="G209">
        <v>4400</v>
      </c>
      <c r="H209" t="s">
        <v>55</v>
      </c>
      <c r="I209">
        <v>2008</v>
      </c>
    </row>
    <row r="210" spans="1:9" x14ac:dyDescent="0.4">
      <c r="A210">
        <v>216</v>
      </c>
      <c r="B210" t="s">
        <v>58</v>
      </c>
      <c r="C210" t="s">
        <v>56</v>
      </c>
      <c r="D210">
        <v>54.3</v>
      </c>
      <c r="E210">
        <v>15.7</v>
      </c>
      <c r="F210">
        <v>231</v>
      </c>
      <c r="G210">
        <v>5650</v>
      </c>
      <c r="H210" t="s">
        <v>54</v>
      </c>
      <c r="I210">
        <v>2008</v>
      </c>
    </row>
    <row r="211" spans="1:9" x14ac:dyDescent="0.4">
      <c r="A211">
        <v>217</v>
      </c>
      <c r="B211" t="s">
        <v>58</v>
      </c>
      <c r="C211" t="s">
        <v>56</v>
      </c>
      <c r="D211">
        <v>45.8</v>
      </c>
      <c r="E211">
        <v>14.2</v>
      </c>
      <c r="F211">
        <v>219</v>
      </c>
      <c r="G211">
        <v>4700</v>
      </c>
      <c r="H211" t="s">
        <v>55</v>
      </c>
      <c r="I211">
        <v>2008</v>
      </c>
    </row>
    <row r="212" spans="1:9" x14ac:dyDescent="0.4">
      <c r="A212">
        <v>218</v>
      </c>
      <c r="B212" t="s">
        <v>58</v>
      </c>
      <c r="C212" t="s">
        <v>56</v>
      </c>
      <c r="D212">
        <v>49.8</v>
      </c>
      <c r="E212">
        <v>16.8</v>
      </c>
      <c r="F212">
        <v>230</v>
      </c>
      <c r="G212">
        <v>5700</v>
      </c>
      <c r="H212" t="s">
        <v>54</v>
      </c>
      <c r="I212">
        <v>2008</v>
      </c>
    </row>
    <row r="213" spans="1:9" x14ac:dyDescent="0.4">
      <c r="A213">
        <v>220</v>
      </c>
      <c r="B213" t="s">
        <v>58</v>
      </c>
      <c r="C213" t="s">
        <v>56</v>
      </c>
      <c r="D213">
        <v>49.5</v>
      </c>
      <c r="E213">
        <v>16.2</v>
      </c>
      <c r="F213">
        <v>229</v>
      </c>
      <c r="G213">
        <v>5800</v>
      </c>
      <c r="H213" t="s">
        <v>54</v>
      </c>
      <c r="I213">
        <v>2008</v>
      </c>
    </row>
    <row r="214" spans="1:9" x14ac:dyDescent="0.4">
      <c r="A214">
        <v>221</v>
      </c>
      <c r="B214" t="s">
        <v>58</v>
      </c>
      <c r="C214" t="s">
        <v>56</v>
      </c>
      <c r="D214">
        <v>43.5</v>
      </c>
      <c r="E214">
        <v>14.2</v>
      </c>
      <c r="F214">
        <v>220</v>
      </c>
      <c r="G214">
        <v>4700</v>
      </c>
      <c r="H214" t="s">
        <v>55</v>
      </c>
      <c r="I214">
        <v>2008</v>
      </c>
    </row>
    <row r="215" spans="1:9" x14ac:dyDescent="0.4">
      <c r="A215">
        <v>222</v>
      </c>
      <c r="B215" t="s">
        <v>58</v>
      </c>
      <c r="C215" t="s">
        <v>56</v>
      </c>
      <c r="D215">
        <v>50.7</v>
      </c>
      <c r="E215">
        <v>15</v>
      </c>
      <c r="F215">
        <v>223</v>
      </c>
      <c r="G215">
        <v>5550</v>
      </c>
      <c r="H215" t="s">
        <v>54</v>
      </c>
      <c r="I215">
        <v>2008</v>
      </c>
    </row>
    <row r="216" spans="1:9" x14ac:dyDescent="0.4">
      <c r="A216">
        <v>223</v>
      </c>
      <c r="B216" t="s">
        <v>58</v>
      </c>
      <c r="C216" t="s">
        <v>56</v>
      </c>
      <c r="D216">
        <v>47.7</v>
      </c>
      <c r="E216">
        <v>15</v>
      </c>
      <c r="F216">
        <v>216</v>
      </c>
      <c r="G216">
        <v>4750</v>
      </c>
      <c r="H216" t="s">
        <v>55</v>
      </c>
      <c r="I216">
        <v>2008</v>
      </c>
    </row>
    <row r="217" spans="1:9" x14ac:dyDescent="0.4">
      <c r="A217">
        <v>224</v>
      </c>
      <c r="B217" t="s">
        <v>58</v>
      </c>
      <c r="C217" t="s">
        <v>56</v>
      </c>
      <c r="D217">
        <v>46.4</v>
      </c>
      <c r="E217">
        <v>15.6</v>
      </c>
      <c r="F217">
        <v>221</v>
      </c>
      <c r="G217">
        <v>5000</v>
      </c>
      <c r="H217" t="s">
        <v>54</v>
      </c>
      <c r="I217">
        <v>2008</v>
      </c>
    </row>
    <row r="218" spans="1:9" x14ac:dyDescent="0.4">
      <c r="A218">
        <v>225</v>
      </c>
      <c r="B218" t="s">
        <v>58</v>
      </c>
      <c r="C218" t="s">
        <v>56</v>
      </c>
      <c r="D218">
        <v>48.2</v>
      </c>
      <c r="E218">
        <v>15.6</v>
      </c>
      <c r="F218">
        <v>221</v>
      </c>
      <c r="G218">
        <v>5100</v>
      </c>
      <c r="H218" t="s">
        <v>54</v>
      </c>
      <c r="I218">
        <v>2008</v>
      </c>
    </row>
    <row r="219" spans="1:9" x14ac:dyDescent="0.4">
      <c r="A219">
        <v>226</v>
      </c>
      <c r="B219" t="s">
        <v>58</v>
      </c>
      <c r="C219" t="s">
        <v>56</v>
      </c>
      <c r="D219">
        <v>46.5</v>
      </c>
      <c r="E219">
        <v>14.8</v>
      </c>
      <c r="F219">
        <v>217</v>
      </c>
      <c r="G219">
        <v>5200</v>
      </c>
      <c r="H219" t="s">
        <v>55</v>
      </c>
      <c r="I219">
        <v>2008</v>
      </c>
    </row>
    <row r="220" spans="1:9" x14ac:dyDescent="0.4">
      <c r="A220">
        <v>227</v>
      </c>
      <c r="B220" t="s">
        <v>58</v>
      </c>
      <c r="C220" t="s">
        <v>56</v>
      </c>
      <c r="D220">
        <v>46.4</v>
      </c>
      <c r="E220">
        <v>15</v>
      </c>
      <c r="F220">
        <v>216</v>
      </c>
      <c r="G220">
        <v>4700</v>
      </c>
      <c r="H220" t="s">
        <v>55</v>
      </c>
      <c r="I220">
        <v>2008</v>
      </c>
    </row>
    <row r="221" spans="1:9" x14ac:dyDescent="0.4">
      <c r="A221">
        <v>228</v>
      </c>
      <c r="B221" t="s">
        <v>58</v>
      </c>
      <c r="C221" t="s">
        <v>56</v>
      </c>
      <c r="D221">
        <v>48.6</v>
      </c>
      <c r="E221">
        <v>16</v>
      </c>
      <c r="F221">
        <v>230</v>
      </c>
      <c r="G221">
        <v>5800</v>
      </c>
      <c r="H221" t="s">
        <v>54</v>
      </c>
      <c r="I221">
        <v>2008</v>
      </c>
    </row>
    <row r="222" spans="1:9" x14ac:dyDescent="0.4">
      <c r="A222">
        <v>229</v>
      </c>
      <c r="B222" t="s">
        <v>58</v>
      </c>
      <c r="C222" t="s">
        <v>56</v>
      </c>
      <c r="D222">
        <v>47.5</v>
      </c>
      <c r="E222">
        <v>14.2</v>
      </c>
      <c r="F222">
        <v>209</v>
      </c>
      <c r="G222">
        <v>4600</v>
      </c>
      <c r="H222" t="s">
        <v>55</v>
      </c>
      <c r="I222">
        <v>2008</v>
      </c>
    </row>
    <row r="223" spans="1:9" x14ac:dyDescent="0.4">
      <c r="A223">
        <v>230</v>
      </c>
      <c r="B223" t="s">
        <v>58</v>
      </c>
      <c r="C223" t="s">
        <v>56</v>
      </c>
      <c r="D223">
        <v>51.1</v>
      </c>
      <c r="E223">
        <v>16.3</v>
      </c>
      <c r="F223">
        <v>220</v>
      </c>
      <c r="G223">
        <v>6000</v>
      </c>
      <c r="H223" t="s">
        <v>54</v>
      </c>
      <c r="I223">
        <v>2008</v>
      </c>
    </row>
    <row r="224" spans="1:9" x14ac:dyDescent="0.4">
      <c r="A224">
        <v>231</v>
      </c>
      <c r="B224" t="s">
        <v>58</v>
      </c>
      <c r="C224" t="s">
        <v>56</v>
      </c>
      <c r="D224">
        <v>45.2</v>
      </c>
      <c r="E224">
        <v>13.8</v>
      </c>
      <c r="F224">
        <v>215</v>
      </c>
      <c r="G224">
        <v>4750</v>
      </c>
      <c r="H224" t="s">
        <v>55</v>
      </c>
      <c r="I224">
        <v>2008</v>
      </c>
    </row>
    <row r="225" spans="1:9" x14ac:dyDescent="0.4">
      <c r="A225">
        <v>232</v>
      </c>
      <c r="B225" t="s">
        <v>58</v>
      </c>
      <c r="C225" t="s">
        <v>56</v>
      </c>
      <c r="D225">
        <v>45.2</v>
      </c>
      <c r="E225">
        <v>16.399999999999999</v>
      </c>
      <c r="F225">
        <v>223</v>
      </c>
      <c r="G225">
        <v>5950</v>
      </c>
      <c r="H225" t="s">
        <v>54</v>
      </c>
      <c r="I225">
        <v>2008</v>
      </c>
    </row>
    <row r="226" spans="1:9" x14ac:dyDescent="0.4">
      <c r="A226">
        <v>233</v>
      </c>
      <c r="B226" t="s">
        <v>58</v>
      </c>
      <c r="C226" t="s">
        <v>56</v>
      </c>
      <c r="D226">
        <v>49.1</v>
      </c>
      <c r="E226">
        <v>14.5</v>
      </c>
      <c r="F226">
        <v>212</v>
      </c>
      <c r="G226">
        <v>4625</v>
      </c>
      <c r="H226" t="s">
        <v>55</v>
      </c>
      <c r="I226">
        <v>2009</v>
      </c>
    </row>
    <row r="227" spans="1:9" x14ac:dyDescent="0.4">
      <c r="A227">
        <v>234</v>
      </c>
      <c r="B227" t="s">
        <v>58</v>
      </c>
      <c r="C227" t="s">
        <v>56</v>
      </c>
      <c r="D227">
        <v>52.5</v>
      </c>
      <c r="E227">
        <v>15.6</v>
      </c>
      <c r="F227">
        <v>221</v>
      </c>
      <c r="G227">
        <v>5450</v>
      </c>
      <c r="H227" t="s">
        <v>54</v>
      </c>
      <c r="I227">
        <v>2009</v>
      </c>
    </row>
    <row r="228" spans="1:9" x14ac:dyDescent="0.4">
      <c r="A228">
        <v>235</v>
      </c>
      <c r="B228" t="s">
        <v>58</v>
      </c>
      <c r="C228" t="s">
        <v>56</v>
      </c>
      <c r="D228">
        <v>47.4</v>
      </c>
      <c r="E228">
        <v>14.6</v>
      </c>
      <c r="F228">
        <v>212</v>
      </c>
      <c r="G228">
        <v>4725</v>
      </c>
      <c r="H228" t="s">
        <v>55</v>
      </c>
      <c r="I228">
        <v>2009</v>
      </c>
    </row>
    <row r="229" spans="1:9" x14ac:dyDescent="0.4">
      <c r="A229">
        <v>236</v>
      </c>
      <c r="B229" t="s">
        <v>58</v>
      </c>
      <c r="C229" t="s">
        <v>56</v>
      </c>
      <c r="D229">
        <v>50</v>
      </c>
      <c r="E229">
        <v>15.9</v>
      </c>
      <c r="F229">
        <v>224</v>
      </c>
      <c r="G229">
        <v>5350</v>
      </c>
      <c r="H229" t="s">
        <v>54</v>
      </c>
      <c r="I229">
        <v>2009</v>
      </c>
    </row>
    <row r="230" spans="1:9" x14ac:dyDescent="0.4">
      <c r="A230">
        <v>237</v>
      </c>
      <c r="B230" t="s">
        <v>58</v>
      </c>
      <c r="C230" t="s">
        <v>56</v>
      </c>
      <c r="D230">
        <v>44.9</v>
      </c>
      <c r="E230">
        <v>13.8</v>
      </c>
      <c r="F230">
        <v>212</v>
      </c>
      <c r="G230">
        <v>4750</v>
      </c>
      <c r="H230" t="s">
        <v>55</v>
      </c>
      <c r="I230">
        <v>2009</v>
      </c>
    </row>
    <row r="231" spans="1:9" x14ac:dyDescent="0.4">
      <c r="A231">
        <v>238</v>
      </c>
      <c r="B231" t="s">
        <v>58</v>
      </c>
      <c r="C231" t="s">
        <v>56</v>
      </c>
      <c r="D231">
        <v>50.8</v>
      </c>
      <c r="E231">
        <v>17.3</v>
      </c>
      <c r="F231">
        <v>228</v>
      </c>
      <c r="G231">
        <v>5600</v>
      </c>
      <c r="H231" t="s">
        <v>54</v>
      </c>
      <c r="I231">
        <v>2009</v>
      </c>
    </row>
    <row r="232" spans="1:9" x14ac:dyDescent="0.4">
      <c r="A232">
        <v>239</v>
      </c>
      <c r="B232" t="s">
        <v>58</v>
      </c>
      <c r="C232" t="s">
        <v>56</v>
      </c>
      <c r="D232">
        <v>43.4</v>
      </c>
      <c r="E232">
        <v>14.4</v>
      </c>
      <c r="F232">
        <v>218</v>
      </c>
      <c r="G232">
        <v>4600</v>
      </c>
      <c r="H232" t="s">
        <v>55</v>
      </c>
      <c r="I232">
        <v>2009</v>
      </c>
    </row>
    <row r="233" spans="1:9" x14ac:dyDescent="0.4">
      <c r="A233">
        <v>240</v>
      </c>
      <c r="B233" t="s">
        <v>58</v>
      </c>
      <c r="C233" t="s">
        <v>56</v>
      </c>
      <c r="D233">
        <v>51.3</v>
      </c>
      <c r="E233">
        <v>14.2</v>
      </c>
      <c r="F233">
        <v>218</v>
      </c>
      <c r="G233">
        <v>5300</v>
      </c>
      <c r="H233" t="s">
        <v>54</v>
      </c>
      <c r="I233">
        <v>2009</v>
      </c>
    </row>
    <row r="234" spans="1:9" x14ac:dyDescent="0.4">
      <c r="A234">
        <v>241</v>
      </c>
      <c r="B234" t="s">
        <v>58</v>
      </c>
      <c r="C234" t="s">
        <v>56</v>
      </c>
      <c r="D234">
        <v>47.5</v>
      </c>
      <c r="E234">
        <v>14</v>
      </c>
      <c r="F234">
        <v>212</v>
      </c>
      <c r="G234">
        <v>4875</v>
      </c>
      <c r="H234" t="s">
        <v>55</v>
      </c>
      <c r="I234">
        <v>2009</v>
      </c>
    </row>
    <row r="235" spans="1:9" x14ac:dyDescent="0.4">
      <c r="A235">
        <v>242</v>
      </c>
      <c r="B235" t="s">
        <v>58</v>
      </c>
      <c r="C235" t="s">
        <v>56</v>
      </c>
      <c r="D235">
        <v>52.1</v>
      </c>
      <c r="E235">
        <v>17</v>
      </c>
      <c r="F235">
        <v>230</v>
      </c>
      <c r="G235">
        <v>5550</v>
      </c>
      <c r="H235" t="s">
        <v>54</v>
      </c>
      <c r="I235">
        <v>2009</v>
      </c>
    </row>
    <row r="236" spans="1:9" x14ac:dyDescent="0.4">
      <c r="A236">
        <v>243</v>
      </c>
      <c r="B236" t="s">
        <v>58</v>
      </c>
      <c r="C236" t="s">
        <v>56</v>
      </c>
      <c r="D236">
        <v>47.5</v>
      </c>
      <c r="E236">
        <v>15</v>
      </c>
      <c r="F236">
        <v>218</v>
      </c>
      <c r="G236">
        <v>4950</v>
      </c>
      <c r="H236" t="s">
        <v>55</v>
      </c>
      <c r="I236">
        <v>2009</v>
      </c>
    </row>
    <row r="237" spans="1:9" x14ac:dyDescent="0.4">
      <c r="A237">
        <v>244</v>
      </c>
      <c r="B237" t="s">
        <v>58</v>
      </c>
      <c r="C237" t="s">
        <v>56</v>
      </c>
      <c r="D237">
        <v>52.2</v>
      </c>
      <c r="E237">
        <v>17.100000000000001</v>
      </c>
      <c r="F237">
        <v>228</v>
      </c>
      <c r="G237">
        <v>5400</v>
      </c>
      <c r="H237" t="s">
        <v>54</v>
      </c>
      <c r="I237">
        <v>2009</v>
      </c>
    </row>
    <row r="238" spans="1:9" x14ac:dyDescent="0.4">
      <c r="A238">
        <v>245</v>
      </c>
      <c r="B238" t="s">
        <v>58</v>
      </c>
      <c r="C238" t="s">
        <v>56</v>
      </c>
      <c r="D238">
        <v>45.5</v>
      </c>
      <c r="E238">
        <v>14.5</v>
      </c>
      <c r="F238">
        <v>212</v>
      </c>
      <c r="G238">
        <v>4750</v>
      </c>
      <c r="H238" t="s">
        <v>55</v>
      </c>
      <c r="I238">
        <v>2009</v>
      </c>
    </row>
    <row r="239" spans="1:9" x14ac:dyDescent="0.4">
      <c r="A239">
        <v>246</v>
      </c>
      <c r="B239" t="s">
        <v>58</v>
      </c>
      <c r="C239" t="s">
        <v>56</v>
      </c>
      <c r="D239">
        <v>49.5</v>
      </c>
      <c r="E239">
        <v>16.100000000000001</v>
      </c>
      <c r="F239">
        <v>224</v>
      </c>
      <c r="G239">
        <v>5650</v>
      </c>
      <c r="H239" t="s">
        <v>54</v>
      </c>
      <c r="I239">
        <v>2009</v>
      </c>
    </row>
    <row r="240" spans="1:9" x14ac:dyDescent="0.4">
      <c r="A240">
        <v>247</v>
      </c>
      <c r="B240" t="s">
        <v>58</v>
      </c>
      <c r="C240" t="s">
        <v>56</v>
      </c>
      <c r="D240">
        <v>44.5</v>
      </c>
      <c r="E240">
        <v>14.7</v>
      </c>
      <c r="F240">
        <v>214</v>
      </c>
      <c r="G240">
        <v>4850</v>
      </c>
      <c r="H240" t="s">
        <v>55</v>
      </c>
      <c r="I240">
        <v>2009</v>
      </c>
    </row>
    <row r="241" spans="1:9" x14ac:dyDescent="0.4">
      <c r="A241">
        <v>248</v>
      </c>
      <c r="B241" t="s">
        <v>58</v>
      </c>
      <c r="C241" t="s">
        <v>56</v>
      </c>
      <c r="D241">
        <v>50.8</v>
      </c>
      <c r="E241">
        <v>15.7</v>
      </c>
      <c r="F241">
        <v>226</v>
      </c>
      <c r="G241">
        <v>5200</v>
      </c>
      <c r="H241" t="s">
        <v>54</v>
      </c>
      <c r="I241">
        <v>2009</v>
      </c>
    </row>
    <row r="242" spans="1:9" x14ac:dyDescent="0.4">
      <c r="A242">
        <v>249</v>
      </c>
      <c r="B242" t="s">
        <v>58</v>
      </c>
      <c r="C242" t="s">
        <v>56</v>
      </c>
      <c r="D242">
        <v>49.4</v>
      </c>
      <c r="E242">
        <v>15.8</v>
      </c>
      <c r="F242">
        <v>216</v>
      </c>
      <c r="G242">
        <v>4925</v>
      </c>
      <c r="H242" t="s">
        <v>54</v>
      </c>
      <c r="I242">
        <v>2009</v>
      </c>
    </row>
    <row r="243" spans="1:9" x14ac:dyDescent="0.4">
      <c r="A243">
        <v>250</v>
      </c>
      <c r="B243" t="s">
        <v>58</v>
      </c>
      <c r="C243" t="s">
        <v>56</v>
      </c>
      <c r="D243">
        <v>46.9</v>
      </c>
      <c r="E243">
        <v>14.6</v>
      </c>
      <c r="F243">
        <v>222</v>
      </c>
      <c r="G243">
        <v>4875</v>
      </c>
      <c r="H243" t="s">
        <v>55</v>
      </c>
      <c r="I243">
        <v>2009</v>
      </c>
    </row>
    <row r="244" spans="1:9" x14ac:dyDescent="0.4">
      <c r="A244">
        <v>251</v>
      </c>
      <c r="B244" t="s">
        <v>58</v>
      </c>
      <c r="C244" t="s">
        <v>56</v>
      </c>
      <c r="D244">
        <v>48.4</v>
      </c>
      <c r="E244">
        <v>14.4</v>
      </c>
      <c r="F244">
        <v>203</v>
      </c>
      <c r="G244">
        <v>4625</v>
      </c>
      <c r="H244" t="s">
        <v>55</v>
      </c>
      <c r="I244">
        <v>2009</v>
      </c>
    </row>
    <row r="245" spans="1:9" x14ac:dyDescent="0.4">
      <c r="A245">
        <v>252</v>
      </c>
      <c r="B245" t="s">
        <v>58</v>
      </c>
      <c r="C245" t="s">
        <v>56</v>
      </c>
      <c r="D245">
        <v>51.1</v>
      </c>
      <c r="E245">
        <v>16.5</v>
      </c>
      <c r="F245">
        <v>225</v>
      </c>
      <c r="G245">
        <v>5250</v>
      </c>
      <c r="H245" t="s">
        <v>54</v>
      </c>
      <c r="I245">
        <v>2009</v>
      </c>
    </row>
    <row r="246" spans="1:9" x14ac:dyDescent="0.4">
      <c r="A246">
        <v>253</v>
      </c>
      <c r="B246" t="s">
        <v>58</v>
      </c>
      <c r="C246" t="s">
        <v>56</v>
      </c>
      <c r="D246">
        <v>48.5</v>
      </c>
      <c r="E246">
        <v>15</v>
      </c>
      <c r="F246">
        <v>219</v>
      </c>
      <c r="G246">
        <v>4850</v>
      </c>
      <c r="H246" t="s">
        <v>55</v>
      </c>
      <c r="I246">
        <v>2009</v>
      </c>
    </row>
    <row r="247" spans="1:9" x14ac:dyDescent="0.4">
      <c r="A247">
        <v>254</v>
      </c>
      <c r="B247" t="s">
        <v>58</v>
      </c>
      <c r="C247" t="s">
        <v>56</v>
      </c>
      <c r="D247">
        <v>55.9</v>
      </c>
      <c r="E247">
        <v>17</v>
      </c>
      <c r="F247">
        <v>228</v>
      </c>
      <c r="G247">
        <v>5600</v>
      </c>
      <c r="H247" t="s">
        <v>54</v>
      </c>
      <c r="I247">
        <v>2009</v>
      </c>
    </row>
    <row r="248" spans="1:9" x14ac:dyDescent="0.4">
      <c r="A248">
        <v>255</v>
      </c>
      <c r="B248" t="s">
        <v>58</v>
      </c>
      <c r="C248" t="s">
        <v>56</v>
      </c>
      <c r="D248">
        <v>47.2</v>
      </c>
      <c r="E248">
        <v>15.5</v>
      </c>
      <c r="F248">
        <v>215</v>
      </c>
      <c r="G248">
        <v>4975</v>
      </c>
      <c r="H248" t="s">
        <v>55</v>
      </c>
      <c r="I248">
        <v>2009</v>
      </c>
    </row>
    <row r="249" spans="1:9" x14ac:dyDescent="0.4">
      <c r="A249">
        <v>256</v>
      </c>
      <c r="B249" t="s">
        <v>58</v>
      </c>
      <c r="C249" t="s">
        <v>56</v>
      </c>
      <c r="D249">
        <v>49.1</v>
      </c>
      <c r="E249">
        <v>15</v>
      </c>
      <c r="F249">
        <v>228</v>
      </c>
      <c r="G249">
        <v>5500</v>
      </c>
      <c r="H249" t="s">
        <v>54</v>
      </c>
      <c r="I249">
        <v>2009</v>
      </c>
    </row>
    <row r="250" spans="1:9" x14ac:dyDescent="0.4">
      <c r="A250">
        <v>258</v>
      </c>
      <c r="B250" t="s">
        <v>58</v>
      </c>
      <c r="C250" t="s">
        <v>56</v>
      </c>
      <c r="D250">
        <v>46.8</v>
      </c>
      <c r="E250">
        <v>16.100000000000001</v>
      </c>
      <c r="F250">
        <v>215</v>
      </c>
      <c r="G250">
        <v>5500</v>
      </c>
      <c r="H250" t="s">
        <v>54</v>
      </c>
      <c r="I250">
        <v>2009</v>
      </c>
    </row>
    <row r="251" spans="1:9" x14ac:dyDescent="0.4">
      <c r="A251">
        <v>259</v>
      </c>
      <c r="B251" t="s">
        <v>58</v>
      </c>
      <c r="C251" t="s">
        <v>56</v>
      </c>
      <c r="D251">
        <v>41.7</v>
      </c>
      <c r="E251">
        <v>14.7</v>
      </c>
      <c r="F251">
        <v>210</v>
      </c>
      <c r="G251">
        <v>4700</v>
      </c>
      <c r="H251" t="s">
        <v>55</v>
      </c>
      <c r="I251">
        <v>2009</v>
      </c>
    </row>
    <row r="252" spans="1:9" x14ac:dyDescent="0.4">
      <c r="A252">
        <v>260</v>
      </c>
      <c r="B252" t="s">
        <v>58</v>
      </c>
      <c r="C252" t="s">
        <v>56</v>
      </c>
      <c r="D252">
        <v>53.4</v>
      </c>
      <c r="E252">
        <v>15.8</v>
      </c>
      <c r="F252">
        <v>219</v>
      </c>
      <c r="G252">
        <v>5500</v>
      </c>
      <c r="H252" t="s">
        <v>54</v>
      </c>
      <c r="I252">
        <v>2009</v>
      </c>
    </row>
    <row r="253" spans="1:9" x14ac:dyDescent="0.4">
      <c r="A253">
        <v>261</v>
      </c>
      <c r="B253" t="s">
        <v>58</v>
      </c>
      <c r="C253" t="s">
        <v>56</v>
      </c>
      <c r="D253">
        <v>43.3</v>
      </c>
      <c r="E253">
        <v>14</v>
      </c>
      <c r="F253">
        <v>208</v>
      </c>
      <c r="G253">
        <v>4575</v>
      </c>
      <c r="H253" t="s">
        <v>55</v>
      </c>
      <c r="I253">
        <v>2009</v>
      </c>
    </row>
    <row r="254" spans="1:9" x14ac:dyDescent="0.4">
      <c r="A254">
        <v>262</v>
      </c>
      <c r="B254" t="s">
        <v>58</v>
      </c>
      <c r="C254" t="s">
        <v>56</v>
      </c>
      <c r="D254">
        <v>48.1</v>
      </c>
      <c r="E254">
        <v>15.1</v>
      </c>
      <c r="F254">
        <v>209</v>
      </c>
      <c r="G254">
        <v>5500</v>
      </c>
      <c r="H254" t="s">
        <v>54</v>
      </c>
      <c r="I254">
        <v>2009</v>
      </c>
    </row>
    <row r="255" spans="1:9" x14ac:dyDescent="0.4">
      <c r="A255">
        <v>263</v>
      </c>
      <c r="B255" t="s">
        <v>58</v>
      </c>
      <c r="C255" t="s">
        <v>56</v>
      </c>
      <c r="D255">
        <v>50.5</v>
      </c>
      <c r="E255">
        <v>15.2</v>
      </c>
      <c r="F255">
        <v>216</v>
      </c>
      <c r="G255">
        <v>5000</v>
      </c>
      <c r="H255" t="s">
        <v>55</v>
      </c>
      <c r="I255">
        <v>2009</v>
      </c>
    </row>
    <row r="256" spans="1:9" x14ac:dyDescent="0.4">
      <c r="A256">
        <v>264</v>
      </c>
      <c r="B256" t="s">
        <v>58</v>
      </c>
      <c r="C256" t="s">
        <v>56</v>
      </c>
      <c r="D256">
        <v>49.8</v>
      </c>
      <c r="E256">
        <v>15.9</v>
      </c>
      <c r="F256">
        <v>229</v>
      </c>
      <c r="G256">
        <v>5950</v>
      </c>
      <c r="H256" t="s">
        <v>54</v>
      </c>
      <c r="I256">
        <v>2009</v>
      </c>
    </row>
    <row r="257" spans="1:9" x14ac:dyDescent="0.4">
      <c r="A257">
        <v>265</v>
      </c>
      <c r="B257" t="s">
        <v>58</v>
      </c>
      <c r="C257" t="s">
        <v>56</v>
      </c>
      <c r="D257">
        <v>43.5</v>
      </c>
      <c r="E257">
        <v>15.2</v>
      </c>
      <c r="F257">
        <v>213</v>
      </c>
      <c r="G257">
        <v>4650</v>
      </c>
      <c r="H257" t="s">
        <v>55</v>
      </c>
      <c r="I257">
        <v>2009</v>
      </c>
    </row>
    <row r="258" spans="1:9" x14ac:dyDescent="0.4">
      <c r="A258">
        <v>266</v>
      </c>
      <c r="B258" t="s">
        <v>58</v>
      </c>
      <c r="C258" t="s">
        <v>56</v>
      </c>
      <c r="D258">
        <v>51.5</v>
      </c>
      <c r="E258">
        <v>16.3</v>
      </c>
      <c r="F258">
        <v>230</v>
      </c>
      <c r="G258">
        <v>5500</v>
      </c>
      <c r="H258" t="s">
        <v>54</v>
      </c>
      <c r="I258">
        <v>2009</v>
      </c>
    </row>
    <row r="259" spans="1:9" x14ac:dyDescent="0.4">
      <c r="A259">
        <v>267</v>
      </c>
      <c r="B259" t="s">
        <v>58</v>
      </c>
      <c r="C259" t="s">
        <v>56</v>
      </c>
      <c r="D259">
        <v>46.2</v>
      </c>
      <c r="E259">
        <v>14.1</v>
      </c>
      <c r="F259">
        <v>217</v>
      </c>
      <c r="G259">
        <v>4375</v>
      </c>
      <c r="H259" t="s">
        <v>55</v>
      </c>
      <c r="I259">
        <v>2009</v>
      </c>
    </row>
    <row r="260" spans="1:9" x14ac:dyDescent="0.4">
      <c r="A260">
        <v>268</v>
      </c>
      <c r="B260" t="s">
        <v>58</v>
      </c>
      <c r="C260" t="s">
        <v>56</v>
      </c>
      <c r="D260">
        <v>55.1</v>
      </c>
      <c r="E260">
        <v>16</v>
      </c>
      <c r="F260">
        <v>230</v>
      </c>
      <c r="G260">
        <v>5850</v>
      </c>
      <c r="H260" t="s">
        <v>54</v>
      </c>
      <c r="I260">
        <v>2009</v>
      </c>
    </row>
    <row r="261" spans="1:9" x14ac:dyDescent="0.4">
      <c r="A261">
        <v>270</v>
      </c>
      <c r="B261" t="s">
        <v>58</v>
      </c>
      <c r="C261" t="s">
        <v>56</v>
      </c>
      <c r="D261">
        <v>48.8</v>
      </c>
      <c r="E261">
        <v>16.2</v>
      </c>
      <c r="F261">
        <v>222</v>
      </c>
      <c r="G261">
        <v>6000</v>
      </c>
      <c r="H261" t="s">
        <v>54</v>
      </c>
      <c r="I261">
        <v>2009</v>
      </c>
    </row>
    <row r="262" spans="1:9" x14ac:dyDescent="0.4">
      <c r="A262">
        <v>271</v>
      </c>
      <c r="B262" t="s">
        <v>58</v>
      </c>
      <c r="C262" t="s">
        <v>56</v>
      </c>
      <c r="D262">
        <v>47.2</v>
      </c>
      <c r="E262">
        <v>13.7</v>
      </c>
      <c r="F262">
        <v>214</v>
      </c>
      <c r="G262">
        <v>4925</v>
      </c>
      <c r="H262" t="s">
        <v>55</v>
      </c>
      <c r="I262">
        <v>2009</v>
      </c>
    </row>
    <row r="263" spans="1:9" x14ac:dyDescent="0.4">
      <c r="A263">
        <v>273</v>
      </c>
      <c r="B263" t="s">
        <v>58</v>
      </c>
      <c r="C263" t="s">
        <v>56</v>
      </c>
      <c r="D263">
        <v>46.8</v>
      </c>
      <c r="E263">
        <v>14.3</v>
      </c>
      <c r="F263">
        <v>215</v>
      </c>
      <c r="G263">
        <v>4850</v>
      </c>
      <c r="H263" t="s">
        <v>55</v>
      </c>
      <c r="I263">
        <v>2009</v>
      </c>
    </row>
    <row r="264" spans="1:9" x14ac:dyDescent="0.4">
      <c r="A264">
        <v>274</v>
      </c>
      <c r="B264" t="s">
        <v>58</v>
      </c>
      <c r="C264" t="s">
        <v>56</v>
      </c>
      <c r="D264">
        <v>50.4</v>
      </c>
      <c r="E264">
        <v>15.7</v>
      </c>
      <c r="F264">
        <v>222</v>
      </c>
      <c r="G264">
        <v>5750</v>
      </c>
      <c r="H264" t="s">
        <v>54</v>
      </c>
      <c r="I264">
        <v>2009</v>
      </c>
    </row>
    <row r="265" spans="1:9" x14ac:dyDescent="0.4">
      <c r="A265">
        <v>275</v>
      </c>
      <c r="B265" t="s">
        <v>58</v>
      </c>
      <c r="C265" t="s">
        <v>56</v>
      </c>
      <c r="D265">
        <v>45.2</v>
      </c>
      <c r="E265">
        <v>14.8</v>
      </c>
      <c r="F265">
        <v>212</v>
      </c>
      <c r="G265">
        <v>5200</v>
      </c>
      <c r="H265" t="s">
        <v>55</v>
      </c>
      <c r="I265">
        <v>2009</v>
      </c>
    </row>
    <row r="266" spans="1:9" x14ac:dyDescent="0.4">
      <c r="A266">
        <v>276</v>
      </c>
      <c r="B266" t="s">
        <v>58</v>
      </c>
      <c r="C266" t="s">
        <v>56</v>
      </c>
      <c r="D266">
        <v>49.9</v>
      </c>
      <c r="E266">
        <v>16.100000000000001</v>
      </c>
      <c r="F266">
        <v>213</v>
      </c>
      <c r="G266">
        <v>5400</v>
      </c>
      <c r="H266" t="s">
        <v>54</v>
      </c>
      <c r="I266">
        <v>2009</v>
      </c>
    </row>
    <row r="267" spans="1:9" x14ac:dyDescent="0.4">
      <c r="A267">
        <v>277</v>
      </c>
      <c r="B267" t="s">
        <v>59</v>
      </c>
      <c r="C267" t="s">
        <v>57</v>
      </c>
      <c r="D267">
        <v>46.5</v>
      </c>
      <c r="E267">
        <v>17.899999999999999</v>
      </c>
      <c r="F267">
        <v>192</v>
      </c>
      <c r="G267">
        <v>3500</v>
      </c>
      <c r="H267" t="s">
        <v>55</v>
      </c>
      <c r="I267">
        <v>2007</v>
      </c>
    </row>
    <row r="268" spans="1:9" x14ac:dyDescent="0.4">
      <c r="A268">
        <v>278</v>
      </c>
      <c r="B268" t="s">
        <v>59</v>
      </c>
      <c r="C268" t="s">
        <v>57</v>
      </c>
      <c r="D268">
        <v>50</v>
      </c>
      <c r="E268">
        <v>19.5</v>
      </c>
      <c r="F268">
        <v>196</v>
      </c>
      <c r="G268">
        <v>3900</v>
      </c>
      <c r="H268" t="s">
        <v>54</v>
      </c>
      <c r="I268">
        <v>2007</v>
      </c>
    </row>
    <row r="269" spans="1:9" x14ac:dyDescent="0.4">
      <c r="A269">
        <v>279</v>
      </c>
      <c r="B269" t="s">
        <v>59</v>
      </c>
      <c r="C269" t="s">
        <v>57</v>
      </c>
      <c r="D269">
        <v>51.3</v>
      </c>
      <c r="E269">
        <v>19.2</v>
      </c>
      <c r="F269">
        <v>193</v>
      </c>
      <c r="G269">
        <v>3650</v>
      </c>
      <c r="H269" t="s">
        <v>54</v>
      </c>
      <c r="I269">
        <v>2007</v>
      </c>
    </row>
    <row r="270" spans="1:9" x14ac:dyDescent="0.4">
      <c r="A270">
        <v>280</v>
      </c>
      <c r="B270" t="s">
        <v>59</v>
      </c>
      <c r="C270" t="s">
        <v>57</v>
      </c>
      <c r="D270">
        <v>45.4</v>
      </c>
      <c r="E270">
        <v>18.7</v>
      </c>
      <c r="F270">
        <v>188</v>
      </c>
      <c r="G270">
        <v>3525</v>
      </c>
      <c r="H270" t="s">
        <v>55</v>
      </c>
      <c r="I270">
        <v>2007</v>
      </c>
    </row>
    <row r="271" spans="1:9" x14ac:dyDescent="0.4">
      <c r="A271">
        <v>281</v>
      </c>
      <c r="B271" t="s">
        <v>59</v>
      </c>
      <c r="C271" t="s">
        <v>57</v>
      </c>
      <c r="D271">
        <v>52.7</v>
      </c>
      <c r="E271">
        <v>19.8</v>
      </c>
      <c r="F271">
        <v>197</v>
      </c>
      <c r="G271">
        <v>3725</v>
      </c>
      <c r="H271" t="s">
        <v>54</v>
      </c>
      <c r="I271">
        <v>2007</v>
      </c>
    </row>
    <row r="272" spans="1:9" x14ac:dyDescent="0.4">
      <c r="A272">
        <v>282</v>
      </c>
      <c r="B272" t="s">
        <v>59</v>
      </c>
      <c r="C272" t="s">
        <v>57</v>
      </c>
      <c r="D272">
        <v>45.2</v>
      </c>
      <c r="E272">
        <v>17.8</v>
      </c>
      <c r="F272">
        <v>198</v>
      </c>
      <c r="G272">
        <v>3950</v>
      </c>
      <c r="H272" t="s">
        <v>55</v>
      </c>
      <c r="I272">
        <v>2007</v>
      </c>
    </row>
    <row r="273" spans="1:9" x14ac:dyDescent="0.4">
      <c r="A273">
        <v>283</v>
      </c>
      <c r="B273" t="s">
        <v>59</v>
      </c>
      <c r="C273" t="s">
        <v>57</v>
      </c>
      <c r="D273">
        <v>46.1</v>
      </c>
      <c r="E273">
        <v>18.2</v>
      </c>
      <c r="F273">
        <v>178</v>
      </c>
      <c r="G273">
        <v>3250</v>
      </c>
      <c r="H273" t="s">
        <v>55</v>
      </c>
      <c r="I273">
        <v>2007</v>
      </c>
    </row>
    <row r="274" spans="1:9" x14ac:dyDescent="0.4">
      <c r="A274">
        <v>284</v>
      </c>
      <c r="B274" t="s">
        <v>59</v>
      </c>
      <c r="C274" t="s">
        <v>57</v>
      </c>
      <c r="D274">
        <v>51.3</v>
      </c>
      <c r="E274">
        <v>18.2</v>
      </c>
      <c r="F274">
        <v>197</v>
      </c>
      <c r="G274">
        <v>3750</v>
      </c>
      <c r="H274" t="s">
        <v>54</v>
      </c>
      <c r="I274">
        <v>2007</v>
      </c>
    </row>
    <row r="275" spans="1:9" x14ac:dyDescent="0.4">
      <c r="A275">
        <v>285</v>
      </c>
      <c r="B275" t="s">
        <v>59</v>
      </c>
      <c r="C275" t="s">
        <v>57</v>
      </c>
      <c r="D275">
        <v>46</v>
      </c>
      <c r="E275">
        <v>18.899999999999999</v>
      </c>
      <c r="F275">
        <v>195</v>
      </c>
      <c r="G275">
        <v>4150</v>
      </c>
      <c r="H275" t="s">
        <v>55</v>
      </c>
      <c r="I275">
        <v>2007</v>
      </c>
    </row>
    <row r="276" spans="1:9" x14ac:dyDescent="0.4">
      <c r="A276">
        <v>286</v>
      </c>
      <c r="B276" t="s">
        <v>59</v>
      </c>
      <c r="C276" t="s">
        <v>57</v>
      </c>
      <c r="D276">
        <v>51.3</v>
      </c>
      <c r="E276">
        <v>19.899999999999999</v>
      </c>
      <c r="F276">
        <v>198</v>
      </c>
      <c r="G276">
        <v>3700</v>
      </c>
      <c r="H276" t="s">
        <v>54</v>
      </c>
      <c r="I276">
        <v>2007</v>
      </c>
    </row>
    <row r="277" spans="1:9" x14ac:dyDescent="0.4">
      <c r="A277">
        <v>287</v>
      </c>
      <c r="B277" t="s">
        <v>59</v>
      </c>
      <c r="C277" t="s">
        <v>57</v>
      </c>
      <c r="D277">
        <v>46.6</v>
      </c>
      <c r="E277">
        <v>17.8</v>
      </c>
      <c r="F277">
        <v>193</v>
      </c>
      <c r="G277">
        <v>3800</v>
      </c>
      <c r="H277" t="s">
        <v>55</v>
      </c>
      <c r="I277">
        <v>2007</v>
      </c>
    </row>
    <row r="278" spans="1:9" x14ac:dyDescent="0.4">
      <c r="A278">
        <v>288</v>
      </c>
      <c r="B278" t="s">
        <v>59</v>
      </c>
      <c r="C278" t="s">
        <v>57</v>
      </c>
      <c r="D278">
        <v>51.7</v>
      </c>
      <c r="E278">
        <v>20.3</v>
      </c>
      <c r="F278">
        <v>194</v>
      </c>
      <c r="G278">
        <v>3775</v>
      </c>
      <c r="H278" t="s">
        <v>54</v>
      </c>
      <c r="I278">
        <v>2007</v>
      </c>
    </row>
    <row r="279" spans="1:9" x14ac:dyDescent="0.4">
      <c r="A279">
        <v>289</v>
      </c>
      <c r="B279" t="s">
        <v>59</v>
      </c>
      <c r="C279" t="s">
        <v>57</v>
      </c>
      <c r="D279">
        <v>47</v>
      </c>
      <c r="E279">
        <v>17.3</v>
      </c>
      <c r="F279">
        <v>185</v>
      </c>
      <c r="G279">
        <v>3700</v>
      </c>
      <c r="H279" t="s">
        <v>55</v>
      </c>
      <c r="I279">
        <v>2007</v>
      </c>
    </row>
    <row r="280" spans="1:9" x14ac:dyDescent="0.4">
      <c r="A280">
        <v>290</v>
      </c>
      <c r="B280" t="s">
        <v>59</v>
      </c>
      <c r="C280" t="s">
        <v>57</v>
      </c>
      <c r="D280">
        <v>52</v>
      </c>
      <c r="E280">
        <v>18.100000000000001</v>
      </c>
      <c r="F280">
        <v>201</v>
      </c>
      <c r="G280">
        <v>4050</v>
      </c>
      <c r="H280" t="s">
        <v>54</v>
      </c>
      <c r="I280">
        <v>2007</v>
      </c>
    </row>
    <row r="281" spans="1:9" x14ac:dyDescent="0.4">
      <c r="A281">
        <v>291</v>
      </c>
      <c r="B281" t="s">
        <v>59</v>
      </c>
      <c r="C281" t="s">
        <v>57</v>
      </c>
      <c r="D281">
        <v>45.9</v>
      </c>
      <c r="E281">
        <v>17.100000000000001</v>
      </c>
      <c r="F281">
        <v>190</v>
      </c>
      <c r="G281">
        <v>3575</v>
      </c>
      <c r="H281" t="s">
        <v>55</v>
      </c>
      <c r="I281">
        <v>2007</v>
      </c>
    </row>
    <row r="282" spans="1:9" x14ac:dyDescent="0.4">
      <c r="A282">
        <v>292</v>
      </c>
      <c r="B282" t="s">
        <v>59</v>
      </c>
      <c r="C282" t="s">
        <v>57</v>
      </c>
      <c r="D282">
        <v>50.5</v>
      </c>
      <c r="E282">
        <v>19.600000000000001</v>
      </c>
      <c r="F282">
        <v>201</v>
      </c>
      <c r="G282">
        <v>4050</v>
      </c>
      <c r="H282" t="s">
        <v>54</v>
      </c>
      <c r="I282">
        <v>2007</v>
      </c>
    </row>
    <row r="283" spans="1:9" x14ac:dyDescent="0.4">
      <c r="A283">
        <v>293</v>
      </c>
      <c r="B283" t="s">
        <v>59</v>
      </c>
      <c r="C283" t="s">
        <v>57</v>
      </c>
      <c r="D283">
        <v>50.3</v>
      </c>
      <c r="E283">
        <v>20</v>
      </c>
      <c r="F283">
        <v>197</v>
      </c>
      <c r="G283">
        <v>3300</v>
      </c>
      <c r="H283" t="s">
        <v>54</v>
      </c>
      <c r="I283">
        <v>2007</v>
      </c>
    </row>
    <row r="284" spans="1:9" x14ac:dyDescent="0.4">
      <c r="A284">
        <v>294</v>
      </c>
      <c r="B284" t="s">
        <v>59</v>
      </c>
      <c r="C284" t="s">
        <v>57</v>
      </c>
      <c r="D284">
        <v>58</v>
      </c>
      <c r="E284">
        <v>17.8</v>
      </c>
      <c r="F284">
        <v>181</v>
      </c>
      <c r="G284">
        <v>3700</v>
      </c>
      <c r="H284" t="s">
        <v>55</v>
      </c>
      <c r="I284">
        <v>2007</v>
      </c>
    </row>
    <row r="285" spans="1:9" x14ac:dyDescent="0.4">
      <c r="A285">
        <v>295</v>
      </c>
      <c r="B285" t="s">
        <v>59</v>
      </c>
      <c r="C285" t="s">
        <v>57</v>
      </c>
      <c r="D285">
        <v>46.4</v>
      </c>
      <c r="E285">
        <v>18.600000000000001</v>
      </c>
      <c r="F285">
        <v>190</v>
      </c>
      <c r="G285">
        <v>3450</v>
      </c>
      <c r="H285" t="s">
        <v>55</v>
      </c>
      <c r="I285">
        <v>2007</v>
      </c>
    </row>
    <row r="286" spans="1:9" x14ac:dyDescent="0.4">
      <c r="A286">
        <v>296</v>
      </c>
      <c r="B286" t="s">
        <v>59</v>
      </c>
      <c r="C286" t="s">
        <v>57</v>
      </c>
      <c r="D286">
        <v>49.2</v>
      </c>
      <c r="E286">
        <v>18.2</v>
      </c>
      <c r="F286">
        <v>195</v>
      </c>
      <c r="G286">
        <v>4400</v>
      </c>
      <c r="H286" t="s">
        <v>54</v>
      </c>
      <c r="I286">
        <v>2007</v>
      </c>
    </row>
    <row r="287" spans="1:9" x14ac:dyDescent="0.4">
      <c r="A287">
        <v>297</v>
      </c>
      <c r="B287" t="s">
        <v>59</v>
      </c>
      <c r="C287" t="s">
        <v>57</v>
      </c>
      <c r="D287">
        <v>42.4</v>
      </c>
      <c r="E287">
        <v>17.3</v>
      </c>
      <c r="F287">
        <v>181</v>
      </c>
      <c r="G287">
        <v>3600</v>
      </c>
      <c r="H287" t="s">
        <v>55</v>
      </c>
      <c r="I287">
        <v>2007</v>
      </c>
    </row>
    <row r="288" spans="1:9" x14ac:dyDescent="0.4">
      <c r="A288">
        <v>298</v>
      </c>
      <c r="B288" t="s">
        <v>59</v>
      </c>
      <c r="C288" t="s">
        <v>57</v>
      </c>
      <c r="D288">
        <v>48.5</v>
      </c>
      <c r="E288">
        <v>17.5</v>
      </c>
      <c r="F288">
        <v>191</v>
      </c>
      <c r="G288">
        <v>3400</v>
      </c>
      <c r="H288" t="s">
        <v>54</v>
      </c>
      <c r="I288">
        <v>2007</v>
      </c>
    </row>
    <row r="289" spans="1:9" x14ac:dyDescent="0.4">
      <c r="A289">
        <v>299</v>
      </c>
      <c r="B289" t="s">
        <v>59</v>
      </c>
      <c r="C289" t="s">
        <v>57</v>
      </c>
      <c r="D289">
        <v>43.2</v>
      </c>
      <c r="E289">
        <v>16.600000000000001</v>
      </c>
      <c r="F289">
        <v>187</v>
      </c>
      <c r="G289">
        <v>2900</v>
      </c>
      <c r="H289" t="s">
        <v>55</v>
      </c>
      <c r="I289">
        <v>2007</v>
      </c>
    </row>
    <row r="290" spans="1:9" x14ac:dyDescent="0.4">
      <c r="A290">
        <v>300</v>
      </c>
      <c r="B290" t="s">
        <v>59</v>
      </c>
      <c r="C290" t="s">
        <v>57</v>
      </c>
      <c r="D290">
        <v>50.6</v>
      </c>
      <c r="E290">
        <v>19.399999999999999</v>
      </c>
      <c r="F290">
        <v>193</v>
      </c>
      <c r="G290">
        <v>3800</v>
      </c>
      <c r="H290" t="s">
        <v>54</v>
      </c>
      <c r="I290">
        <v>2007</v>
      </c>
    </row>
    <row r="291" spans="1:9" x14ac:dyDescent="0.4">
      <c r="A291">
        <v>301</v>
      </c>
      <c r="B291" t="s">
        <v>59</v>
      </c>
      <c r="C291" t="s">
        <v>57</v>
      </c>
      <c r="D291">
        <v>46.7</v>
      </c>
      <c r="E291">
        <v>17.899999999999999</v>
      </c>
      <c r="F291">
        <v>195</v>
      </c>
      <c r="G291">
        <v>3300</v>
      </c>
      <c r="H291" t="s">
        <v>55</v>
      </c>
      <c r="I291">
        <v>2007</v>
      </c>
    </row>
    <row r="292" spans="1:9" x14ac:dyDescent="0.4">
      <c r="A292">
        <v>302</v>
      </c>
      <c r="B292" t="s">
        <v>59</v>
      </c>
      <c r="C292" t="s">
        <v>57</v>
      </c>
      <c r="D292">
        <v>52</v>
      </c>
      <c r="E292">
        <v>19</v>
      </c>
      <c r="F292">
        <v>197</v>
      </c>
      <c r="G292">
        <v>4150</v>
      </c>
      <c r="H292" t="s">
        <v>54</v>
      </c>
      <c r="I292">
        <v>2007</v>
      </c>
    </row>
    <row r="293" spans="1:9" x14ac:dyDescent="0.4">
      <c r="A293">
        <v>303</v>
      </c>
      <c r="B293" t="s">
        <v>59</v>
      </c>
      <c r="C293" t="s">
        <v>57</v>
      </c>
      <c r="D293">
        <v>50.5</v>
      </c>
      <c r="E293">
        <v>18.399999999999999</v>
      </c>
      <c r="F293">
        <v>200</v>
      </c>
      <c r="G293">
        <v>3400</v>
      </c>
      <c r="H293" t="s">
        <v>55</v>
      </c>
      <c r="I293">
        <v>2008</v>
      </c>
    </row>
    <row r="294" spans="1:9" x14ac:dyDescent="0.4">
      <c r="A294">
        <v>304</v>
      </c>
      <c r="B294" t="s">
        <v>59</v>
      </c>
      <c r="C294" t="s">
        <v>57</v>
      </c>
      <c r="D294">
        <v>49.5</v>
      </c>
      <c r="E294">
        <v>19</v>
      </c>
      <c r="F294">
        <v>200</v>
      </c>
      <c r="G294">
        <v>3800</v>
      </c>
      <c r="H294" t="s">
        <v>54</v>
      </c>
      <c r="I294">
        <v>2008</v>
      </c>
    </row>
    <row r="295" spans="1:9" x14ac:dyDescent="0.4">
      <c r="A295">
        <v>305</v>
      </c>
      <c r="B295" t="s">
        <v>59</v>
      </c>
      <c r="C295" t="s">
        <v>57</v>
      </c>
      <c r="D295">
        <v>46.4</v>
      </c>
      <c r="E295">
        <v>17.8</v>
      </c>
      <c r="F295">
        <v>191</v>
      </c>
      <c r="G295">
        <v>3700</v>
      </c>
      <c r="H295" t="s">
        <v>55</v>
      </c>
      <c r="I295">
        <v>2008</v>
      </c>
    </row>
    <row r="296" spans="1:9" x14ac:dyDescent="0.4">
      <c r="A296">
        <v>306</v>
      </c>
      <c r="B296" t="s">
        <v>59</v>
      </c>
      <c r="C296" t="s">
        <v>57</v>
      </c>
      <c r="D296">
        <v>52.8</v>
      </c>
      <c r="E296">
        <v>20</v>
      </c>
      <c r="F296">
        <v>205</v>
      </c>
      <c r="G296">
        <v>4550</v>
      </c>
      <c r="H296" t="s">
        <v>54</v>
      </c>
      <c r="I296">
        <v>2008</v>
      </c>
    </row>
    <row r="297" spans="1:9" x14ac:dyDescent="0.4">
      <c r="A297">
        <v>307</v>
      </c>
      <c r="B297" t="s">
        <v>59</v>
      </c>
      <c r="C297" t="s">
        <v>57</v>
      </c>
      <c r="D297">
        <v>40.9</v>
      </c>
      <c r="E297">
        <v>16.600000000000001</v>
      </c>
      <c r="F297">
        <v>187</v>
      </c>
      <c r="G297">
        <v>3200</v>
      </c>
      <c r="H297" t="s">
        <v>55</v>
      </c>
      <c r="I297">
        <v>2008</v>
      </c>
    </row>
    <row r="298" spans="1:9" x14ac:dyDescent="0.4">
      <c r="A298">
        <v>308</v>
      </c>
      <c r="B298" t="s">
        <v>59</v>
      </c>
      <c r="C298" t="s">
        <v>57</v>
      </c>
      <c r="D298">
        <v>54.2</v>
      </c>
      <c r="E298">
        <v>20.8</v>
      </c>
      <c r="F298">
        <v>201</v>
      </c>
      <c r="G298">
        <v>4300</v>
      </c>
      <c r="H298" t="s">
        <v>54</v>
      </c>
      <c r="I298">
        <v>2008</v>
      </c>
    </row>
    <row r="299" spans="1:9" x14ac:dyDescent="0.4">
      <c r="A299">
        <v>309</v>
      </c>
      <c r="B299" t="s">
        <v>59</v>
      </c>
      <c r="C299" t="s">
        <v>57</v>
      </c>
      <c r="D299">
        <v>42.5</v>
      </c>
      <c r="E299">
        <v>16.7</v>
      </c>
      <c r="F299">
        <v>187</v>
      </c>
      <c r="G299">
        <v>3350</v>
      </c>
      <c r="H299" t="s">
        <v>55</v>
      </c>
      <c r="I299">
        <v>2008</v>
      </c>
    </row>
    <row r="300" spans="1:9" x14ac:dyDescent="0.4">
      <c r="A300">
        <v>310</v>
      </c>
      <c r="B300" t="s">
        <v>59</v>
      </c>
      <c r="C300" t="s">
        <v>57</v>
      </c>
      <c r="D300">
        <v>51</v>
      </c>
      <c r="E300">
        <v>18.8</v>
      </c>
      <c r="F300">
        <v>203</v>
      </c>
      <c r="G300">
        <v>4100</v>
      </c>
      <c r="H300" t="s">
        <v>54</v>
      </c>
      <c r="I300">
        <v>2008</v>
      </c>
    </row>
    <row r="301" spans="1:9" x14ac:dyDescent="0.4">
      <c r="A301">
        <v>311</v>
      </c>
      <c r="B301" t="s">
        <v>59</v>
      </c>
      <c r="C301" t="s">
        <v>57</v>
      </c>
      <c r="D301">
        <v>49.7</v>
      </c>
      <c r="E301">
        <v>18.600000000000001</v>
      </c>
      <c r="F301">
        <v>195</v>
      </c>
      <c r="G301">
        <v>3600</v>
      </c>
      <c r="H301" t="s">
        <v>54</v>
      </c>
      <c r="I301">
        <v>2008</v>
      </c>
    </row>
    <row r="302" spans="1:9" x14ac:dyDescent="0.4">
      <c r="A302">
        <v>312</v>
      </c>
      <c r="B302" t="s">
        <v>59</v>
      </c>
      <c r="C302" t="s">
        <v>57</v>
      </c>
      <c r="D302">
        <v>47.5</v>
      </c>
      <c r="E302">
        <v>16.8</v>
      </c>
      <c r="F302">
        <v>199</v>
      </c>
      <c r="G302">
        <v>3900</v>
      </c>
      <c r="H302" t="s">
        <v>55</v>
      </c>
      <c r="I302">
        <v>2008</v>
      </c>
    </row>
    <row r="303" spans="1:9" x14ac:dyDescent="0.4">
      <c r="A303">
        <v>313</v>
      </c>
      <c r="B303" t="s">
        <v>59</v>
      </c>
      <c r="C303" t="s">
        <v>57</v>
      </c>
      <c r="D303">
        <v>47.6</v>
      </c>
      <c r="E303">
        <v>18.3</v>
      </c>
      <c r="F303">
        <v>195</v>
      </c>
      <c r="G303">
        <v>3850</v>
      </c>
      <c r="H303" t="s">
        <v>55</v>
      </c>
      <c r="I303">
        <v>2008</v>
      </c>
    </row>
    <row r="304" spans="1:9" x14ac:dyDescent="0.4">
      <c r="A304">
        <v>314</v>
      </c>
      <c r="B304" t="s">
        <v>59</v>
      </c>
      <c r="C304" t="s">
        <v>57</v>
      </c>
      <c r="D304">
        <v>52</v>
      </c>
      <c r="E304">
        <v>20.7</v>
      </c>
      <c r="F304">
        <v>210</v>
      </c>
      <c r="G304">
        <v>4800</v>
      </c>
      <c r="H304" t="s">
        <v>54</v>
      </c>
      <c r="I304">
        <v>2008</v>
      </c>
    </row>
    <row r="305" spans="1:9" x14ac:dyDescent="0.4">
      <c r="A305">
        <v>315</v>
      </c>
      <c r="B305" t="s">
        <v>59</v>
      </c>
      <c r="C305" t="s">
        <v>57</v>
      </c>
      <c r="D305">
        <v>46.9</v>
      </c>
      <c r="E305">
        <v>16.600000000000001</v>
      </c>
      <c r="F305">
        <v>192</v>
      </c>
      <c r="G305">
        <v>2700</v>
      </c>
      <c r="H305" t="s">
        <v>55</v>
      </c>
      <c r="I305">
        <v>2008</v>
      </c>
    </row>
    <row r="306" spans="1:9" x14ac:dyDescent="0.4">
      <c r="A306">
        <v>316</v>
      </c>
      <c r="B306" t="s">
        <v>59</v>
      </c>
      <c r="C306" t="s">
        <v>57</v>
      </c>
      <c r="D306">
        <v>53.5</v>
      </c>
      <c r="E306">
        <v>19.899999999999999</v>
      </c>
      <c r="F306">
        <v>205</v>
      </c>
      <c r="G306">
        <v>4500</v>
      </c>
      <c r="H306" t="s">
        <v>54</v>
      </c>
      <c r="I306">
        <v>2008</v>
      </c>
    </row>
    <row r="307" spans="1:9" x14ac:dyDescent="0.4">
      <c r="A307">
        <v>317</v>
      </c>
      <c r="B307" t="s">
        <v>59</v>
      </c>
      <c r="C307" t="s">
        <v>57</v>
      </c>
      <c r="D307">
        <v>49</v>
      </c>
      <c r="E307">
        <v>19.5</v>
      </c>
      <c r="F307">
        <v>210</v>
      </c>
      <c r="G307">
        <v>3950</v>
      </c>
      <c r="H307" t="s">
        <v>54</v>
      </c>
      <c r="I307">
        <v>2008</v>
      </c>
    </row>
    <row r="308" spans="1:9" x14ac:dyDescent="0.4">
      <c r="A308">
        <v>318</v>
      </c>
      <c r="B308" t="s">
        <v>59</v>
      </c>
      <c r="C308" t="s">
        <v>57</v>
      </c>
      <c r="D308">
        <v>46.2</v>
      </c>
      <c r="E308">
        <v>17.5</v>
      </c>
      <c r="F308">
        <v>187</v>
      </c>
      <c r="G308">
        <v>3650</v>
      </c>
      <c r="H308" t="s">
        <v>55</v>
      </c>
      <c r="I308">
        <v>2008</v>
      </c>
    </row>
    <row r="309" spans="1:9" x14ac:dyDescent="0.4">
      <c r="A309">
        <v>319</v>
      </c>
      <c r="B309" t="s">
        <v>59</v>
      </c>
      <c r="C309" t="s">
        <v>57</v>
      </c>
      <c r="D309">
        <v>50.9</v>
      </c>
      <c r="E309">
        <v>19.100000000000001</v>
      </c>
      <c r="F309">
        <v>196</v>
      </c>
      <c r="G309">
        <v>3550</v>
      </c>
      <c r="H309" t="s">
        <v>54</v>
      </c>
      <c r="I309">
        <v>2008</v>
      </c>
    </row>
    <row r="310" spans="1:9" x14ac:dyDescent="0.4">
      <c r="A310">
        <v>320</v>
      </c>
      <c r="B310" t="s">
        <v>59</v>
      </c>
      <c r="C310" t="s">
        <v>57</v>
      </c>
      <c r="D310">
        <v>45.5</v>
      </c>
      <c r="E310">
        <v>17</v>
      </c>
      <c r="F310">
        <v>196</v>
      </c>
      <c r="G310">
        <v>3500</v>
      </c>
      <c r="H310" t="s">
        <v>55</v>
      </c>
      <c r="I310">
        <v>2008</v>
      </c>
    </row>
    <row r="311" spans="1:9" x14ac:dyDescent="0.4">
      <c r="A311">
        <v>321</v>
      </c>
      <c r="B311" t="s">
        <v>59</v>
      </c>
      <c r="C311" t="s">
        <v>57</v>
      </c>
      <c r="D311">
        <v>50.9</v>
      </c>
      <c r="E311">
        <v>17.899999999999999</v>
      </c>
      <c r="F311">
        <v>196</v>
      </c>
      <c r="G311">
        <v>3675</v>
      </c>
      <c r="H311" t="s">
        <v>55</v>
      </c>
      <c r="I311">
        <v>2009</v>
      </c>
    </row>
    <row r="312" spans="1:9" x14ac:dyDescent="0.4">
      <c r="A312">
        <v>322</v>
      </c>
      <c r="B312" t="s">
        <v>59</v>
      </c>
      <c r="C312" t="s">
        <v>57</v>
      </c>
      <c r="D312">
        <v>50.8</v>
      </c>
      <c r="E312">
        <v>18.5</v>
      </c>
      <c r="F312">
        <v>201</v>
      </c>
      <c r="G312">
        <v>4450</v>
      </c>
      <c r="H312" t="s">
        <v>54</v>
      </c>
      <c r="I312">
        <v>2009</v>
      </c>
    </row>
    <row r="313" spans="1:9" x14ac:dyDescent="0.4">
      <c r="A313">
        <v>323</v>
      </c>
      <c r="B313" t="s">
        <v>59</v>
      </c>
      <c r="C313" t="s">
        <v>57</v>
      </c>
      <c r="D313">
        <v>50.1</v>
      </c>
      <c r="E313">
        <v>17.899999999999999</v>
      </c>
      <c r="F313">
        <v>190</v>
      </c>
      <c r="G313">
        <v>3400</v>
      </c>
      <c r="H313" t="s">
        <v>55</v>
      </c>
      <c r="I313">
        <v>2009</v>
      </c>
    </row>
    <row r="314" spans="1:9" x14ac:dyDescent="0.4">
      <c r="A314">
        <v>324</v>
      </c>
      <c r="B314" t="s">
        <v>59</v>
      </c>
      <c r="C314" t="s">
        <v>57</v>
      </c>
      <c r="D314">
        <v>49</v>
      </c>
      <c r="E314">
        <v>19.600000000000001</v>
      </c>
      <c r="F314">
        <v>212</v>
      </c>
      <c r="G314">
        <v>4300</v>
      </c>
      <c r="H314" t="s">
        <v>54</v>
      </c>
      <c r="I314">
        <v>2009</v>
      </c>
    </row>
    <row r="315" spans="1:9" x14ac:dyDescent="0.4">
      <c r="A315">
        <v>325</v>
      </c>
      <c r="B315" t="s">
        <v>59</v>
      </c>
      <c r="C315" t="s">
        <v>57</v>
      </c>
      <c r="D315">
        <v>51.5</v>
      </c>
      <c r="E315">
        <v>18.7</v>
      </c>
      <c r="F315">
        <v>187</v>
      </c>
      <c r="G315">
        <v>3250</v>
      </c>
      <c r="H315" t="s">
        <v>54</v>
      </c>
      <c r="I315">
        <v>2009</v>
      </c>
    </row>
    <row r="316" spans="1:9" x14ac:dyDescent="0.4">
      <c r="A316">
        <v>326</v>
      </c>
      <c r="B316" t="s">
        <v>59</v>
      </c>
      <c r="C316" t="s">
        <v>57</v>
      </c>
      <c r="D316">
        <v>49.8</v>
      </c>
      <c r="E316">
        <v>17.3</v>
      </c>
      <c r="F316">
        <v>198</v>
      </c>
      <c r="G316">
        <v>3675</v>
      </c>
      <c r="H316" t="s">
        <v>55</v>
      </c>
      <c r="I316">
        <v>2009</v>
      </c>
    </row>
    <row r="317" spans="1:9" x14ac:dyDescent="0.4">
      <c r="A317">
        <v>327</v>
      </c>
      <c r="B317" t="s">
        <v>59</v>
      </c>
      <c r="C317" t="s">
        <v>57</v>
      </c>
      <c r="D317">
        <v>48.1</v>
      </c>
      <c r="E317">
        <v>16.399999999999999</v>
      </c>
      <c r="F317">
        <v>199</v>
      </c>
      <c r="G317">
        <v>3325</v>
      </c>
      <c r="H317" t="s">
        <v>55</v>
      </c>
      <c r="I317">
        <v>2009</v>
      </c>
    </row>
    <row r="318" spans="1:9" x14ac:dyDescent="0.4">
      <c r="A318">
        <v>328</v>
      </c>
      <c r="B318" t="s">
        <v>59</v>
      </c>
      <c r="C318" t="s">
        <v>57</v>
      </c>
      <c r="D318">
        <v>51.4</v>
      </c>
      <c r="E318">
        <v>19</v>
      </c>
      <c r="F318">
        <v>201</v>
      </c>
      <c r="G318">
        <v>3950</v>
      </c>
      <c r="H318" t="s">
        <v>54</v>
      </c>
      <c r="I318">
        <v>2009</v>
      </c>
    </row>
    <row r="319" spans="1:9" x14ac:dyDescent="0.4">
      <c r="A319">
        <v>329</v>
      </c>
      <c r="B319" t="s">
        <v>59</v>
      </c>
      <c r="C319" t="s">
        <v>57</v>
      </c>
      <c r="D319">
        <v>45.7</v>
      </c>
      <c r="E319">
        <v>17.3</v>
      </c>
      <c r="F319">
        <v>193</v>
      </c>
      <c r="G319">
        <v>3600</v>
      </c>
      <c r="H319" t="s">
        <v>55</v>
      </c>
      <c r="I319">
        <v>2009</v>
      </c>
    </row>
    <row r="320" spans="1:9" x14ac:dyDescent="0.4">
      <c r="A320">
        <v>330</v>
      </c>
      <c r="B320" t="s">
        <v>59</v>
      </c>
      <c r="C320" t="s">
        <v>57</v>
      </c>
      <c r="D320">
        <v>50.7</v>
      </c>
      <c r="E320">
        <v>19.7</v>
      </c>
      <c r="F320">
        <v>203</v>
      </c>
      <c r="G320">
        <v>4050</v>
      </c>
      <c r="H320" t="s">
        <v>54</v>
      </c>
      <c r="I320">
        <v>2009</v>
      </c>
    </row>
    <row r="321" spans="1:9" x14ac:dyDescent="0.4">
      <c r="A321">
        <v>331</v>
      </c>
      <c r="B321" t="s">
        <v>59</v>
      </c>
      <c r="C321" t="s">
        <v>57</v>
      </c>
      <c r="D321">
        <v>42.5</v>
      </c>
      <c r="E321">
        <v>17.3</v>
      </c>
      <c r="F321">
        <v>187</v>
      </c>
      <c r="G321">
        <v>3350</v>
      </c>
      <c r="H321" t="s">
        <v>55</v>
      </c>
      <c r="I321">
        <v>2009</v>
      </c>
    </row>
    <row r="322" spans="1:9" x14ac:dyDescent="0.4">
      <c r="A322">
        <v>332</v>
      </c>
      <c r="B322" t="s">
        <v>59</v>
      </c>
      <c r="C322" t="s">
        <v>57</v>
      </c>
      <c r="D322">
        <v>52.2</v>
      </c>
      <c r="E322">
        <v>18.8</v>
      </c>
      <c r="F322">
        <v>197</v>
      </c>
      <c r="G322">
        <v>3450</v>
      </c>
      <c r="H322" t="s">
        <v>54</v>
      </c>
      <c r="I322">
        <v>2009</v>
      </c>
    </row>
    <row r="323" spans="1:9" x14ac:dyDescent="0.4">
      <c r="A323">
        <v>333</v>
      </c>
      <c r="B323" t="s">
        <v>59</v>
      </c>
      <c r="C323" t="s">
        <v>57</v>
      </c>
      <c r="D323">
        <v>45.2</v>
      </c>
      <c r="E323">
        <v>16.600000000000001</v>
      </c>
      <c r="F323">
        <v>191</v>
      </c>
      <c r="G323">
        <v>3250</v>
      </c>
      <c r="H323" t="s">
        <v>55</v>
      </c>
      <c r="I323">
        <v>2009</v>
      </c>
    </row>
    <row r="324" spans="1:9" x14ac:dyDescent="0.4">
      <c r="A324">
        <v>334</v>
      </c>
      <c r="B324" t="s">
        <v>59</v>
      </c>
      <c r="C324" t="s">
        <v>57</v>
      </c>
      <c r="D324">
        <v>49.3</v>
      </c>
      <c r="E324">
        <v>19.899999999999999</v>
      </c>
      <c r="F324">
        <v>203</v>
      </c>
      <c r="G324">
        <v>4050</v>
      </c>
      <c r="H324" t="s">
        <v>54</v>
      </c>
      <c r="I324">
        <v>2009</v>
      </c>
    </row>
    <row r="325" spans="1:9" x14ac:dyDescent="0.4">
      <c r="A325">
        <v>335</v>
      </c>
      <c r="B325" t="s">
        <v>59</v>
      </c>
      <c r="C325" t="s">
        <v>57</v>
      </c>
      <c r="D325">
        <v>50.2</v>
      </c>
      <c r="E325">
        <v>18.8</v>
      </c>
      <c r="F325">
        <v>202</v>
      </c>
      <c r="G325">
        <v>3800</v>
      </c>
      <c r="H325" t="s">
        <v>54</v>
      </c>
      <c r="I325">
        <v>2009</v>
      </c>
    </row>
    <row r="326" spans="1:9" x14ac:dyDescent="0.4">
      <c r="A326">
        <v>336</v>
      </c>
      <c r="B326" t="s">
        <v>59</v>
      </c>
      <c r="C326" t="s">
        <v>57</v>
      </c>
      <c r="D326">
        <v>45.6</v>
      </c>
      <c r="E326">
        <v>19.399999999999999</v>
      </c>
      <c r="F326">
        <v>194</v>
      </c>
      <c r="G326">
        <v>3525</v>
      </c>
      <c r="H326" t="s">
        <v>55</v>
      </c>
      <c r="I326">
        <v>2009</v>
      </c>
    </row>
    <row r="327" spans="1:9" x14ac:dyDescent="0.4">
      <c r="A327">
        <v>337</v>
      </c>
      <c r="B327" t="s">
        <v>59</v>
      </c>
      <c r="C327" t="s">
        <v>57</v>
      </c>
      <c r="D327">
        <v>51.9</v>
      </c>
      <c r="E327">
        <v>19.5</v>
      </c>
      <c r="F327">
        <v>206</v>
      </c>
      <c r="G327">
        <v>3950</v>
      </c>
      <c r="H327" t="s">
        <v>54</v>
      </c>
      <c r="I327">
        <v>2009</v>
      </c>
    </row>
    <row r="328" spans="1:9" x14ac:dyDescent="0.4">
      <c r="A328">
        <v>338</v>
      </c>
      <c r="B328" t="s">
        <v>59</v>
      </c>
      <c r="C328" t="s">
        <v>57</v>
      </c>
      <c r="D328">
        <v>46.8</v>
      </c>
      <c r="E328">
        <v>16.5</v>
      </c>
      <c r="F328">
        <v>189</v>
      </c>
      <c r="G328">
        <v>3650</v>
      </c>
      <c r="H328" t="s">
        <v>55</v>
      </c>
      <c r="I328">
        <v>2009</v>
      </c>
    </row>
    <row r="329" spans="1:9" x14ac:dyDescent="0.4">
      <c r="A329">
        <v>339</v>
      </c>
      <c r="B329" t="s">
        <v>59</v>
      </c>
      <c r="C329" t="s">
        <v>57</v>
      </c>
      <c r="D329">
        <v>45.7</v>
      </c>
      <c r="E329">
        <v>17</v>
      </c>
      <c r="F329">
        <v>195</v>
      </c>
      <c r="G329">
        <v>3650</v>
      </c>
      <c r="H329" t="s">
        <v>55</v>
      </c>
      <c r="I329">
        <v>2009</v>
      </c>
    </row>
    <row r="330" spans="1:9" x14ac:dyDescent="0.4">
      <c r="A330">
        <v>340</v>
      </c>
      <c r="B330" t="s">
        <v>59</v>
      </c>
      <c r="C330" t="s">
        <v>57</v>
      </c>
      <c r="D330">
        <v>55.8</v>
      </c>
      <c r="E330">
        <v>19.8</v>
      </c>
      <c r="F330">
        <v>207</v>
      </c>
      <c r="G330">
        <v>4000</v>
      </c>
      <c r="H330" t="s">
        <v>54</v>
      </c>
      <c r="I330">
        <v>2009</v>
      </c>
    </row>
    <row r="331" spans="1:9" x14ac:dyDescent="0.4">
      <c r="A331">
        <v>341</v>
      </c>
      <c r="B331" t="s">
        <v>59</v>
      </c>
      <c r="C331" t="s">
        <v>57</v>
      </c>
      <c r="D331">
        <v>43.5</v>
      </c>
      <c r="E331">
        <v>18.100000000000001</v>
      </c>
      <c r="F331">
        <v>202</v>
      </c>
      <c r="G331">
        <v>3400</v>
      </c>
      <c r="H331" t="s">
        <v>55</v>
      </c>
      <c r="I331">
        <v>2009</v>
      </c>
    </row>
    <row r="332" spans="1:9" x14ac:dyDescent="0.4">
      <c r="A332">
        <v>342</v>
      </c>
      <c r="B332" t="s">
        <v>59</v>
      </c>
      <c r="C332" t="s">
        <v>57</v>
      </c>
      <c r="D332">
        <v>49.6</v>
      </c>
      <c r="E332">
        <v>18.2</v>
      </c>
      <c r="F332">
        <v>193</v>
      </c>
      <c r="G332">
        <v>3775</v>
      </c>
      <c r="H332" t="s">
        <v>54</v>
      </c>
      <c r="I332">
        <v>2009</v>
      </c>
    </row>
    <row r="333" spans="1:9" x14ac:dyDescent="0.4">
      <c r="A333">
        <v>343</v>
      </c>
      <c r="B333" t="s">
        <v>59</v>
      </c>
      <c r="C333" t="s">
        <v>57</v>
      </c>
      <c r="D333">
        <v>50.8</v>
      </c>
      <c r="E333">
        <v>19</v>
      </c>
      <c r="F333">
        <v>210</v>
      </c>
      <c r="G333">
        <v>4100</v>
      </c>
      <c r="H333" t="s">
        <v>54</v>
      </c>
      <c r="I333">
        <v>2009</v>
      </c>
    </row>
    <row r="334" spans="1:9" x14ac:dyDescent="0.4">
      <c r="A334">
        <v>344</v>
      </c>
      <c r="B334" t="s">
        <v>59</v>
      </c>
      <c r="C334" t="s">
        <v>57</v>
      </c>
      <c r="D334">
        <v>50.2</v>
      </c>
      <c r="E334">
        <v>18.7</v>
      </c>
      <c r="F334">
        <v>198</v>
      </c>
      <c r="G334">
        <v>3775</v>
      </c>
      <c r="H334" t="s">
        <v>55</v>
      </c>
      <c r="I334">
        <v>2009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8126"/>
  <sheetViews>
    <sheetView topLeftCell="A10" workbookViewId="0">
      <selection activeCell="A4" sqref="A4"/>
    </sheetView>
  </sheetViews>
  <sheetFormatPr defaultRowHeight="14.6" x14ac:dyDescent="0.4"/>
  <sheetData>
    <row r="1" spans="1:24" x14ac:dyDescent="0.4">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4">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4">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4">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4">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4">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4">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4">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4">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4">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4">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4">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4">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4">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4">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4">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4">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4">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4">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4">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4">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4">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4">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4">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4">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4">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4">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4">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4">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4">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4">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4">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4">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4">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4">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4">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4">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4">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4">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4">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4">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4">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4">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4">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4">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4">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4">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4">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4">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4">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4">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4">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4">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4">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4">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4">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4">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4">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4">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4">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4">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4">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4">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4">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4">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4">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4">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4">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4">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4">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4">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4">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4">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4">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4">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4">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4">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4">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4">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4">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4">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4">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4">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4">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4">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4">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4">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4">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4">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4">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4">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4">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4">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4">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4">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4">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4">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4">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4">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4">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4">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4">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4">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4">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4">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4">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4">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4">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4">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4">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4">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4">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4">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4">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4">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4">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4">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4">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4">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4">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4">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4">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4">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4">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4">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4">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4">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4">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4">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4">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4">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4">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4">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4">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4">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4">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4">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4">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4">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4">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4">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4">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4">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4">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4">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4">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4">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4">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4">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4">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4">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4">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4">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4">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4">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4">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4">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4">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4">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4">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4">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4">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4">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4">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4">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4">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4">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4">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4">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4">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4">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4">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4">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4">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4">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4">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4">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4">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4">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4">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4">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4">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4">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4">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4">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4">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4">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4">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4">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4">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4">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4">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4">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4">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4">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4">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4">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4">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4">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4">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4">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4">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4">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4">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4">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4">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4">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4">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4">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4">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4">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4">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4">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4">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4">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4">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4">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4">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4">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4">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4">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4">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4">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4">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4">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4">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4">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4">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4">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4">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4">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4">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4">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4">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4">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4">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4">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4">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4">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4">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4">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4">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4">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4">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4">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4">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4">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4">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4">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4">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4">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4">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4">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4">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4">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4">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4">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4">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4">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4">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4">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4">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4">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4">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4">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4">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4">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4">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4">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4">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4">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4">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4">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4">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4">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4">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4">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4">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4">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4">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4">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4">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4">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4">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4">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4">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4">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4">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4">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4">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4">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4">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4">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4">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4">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4">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4">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4">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4">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4">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4">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4">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4">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4">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4">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4">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4">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4">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4">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4">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4">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4">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4">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4">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4">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4">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4">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4">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4">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4">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4">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4">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4">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4">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4">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4">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4">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4">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4">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4">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4">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4">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4">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4">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4">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4">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4">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4">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4">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4">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4">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4">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4">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4">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4">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4">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4">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4">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4">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4">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4">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4">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4">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4">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4">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4">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4">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4">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4">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4">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4">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4">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4">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4">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4">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4">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4">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4">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4">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4">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4">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4">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4">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4">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4">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4">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4">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4">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4">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4">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4">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4">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4">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4">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4">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4">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4">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4">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4">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4">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4">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4">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4">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4">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4">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4">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4">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4">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4">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4">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4">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4">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4">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4">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4">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4">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4">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4">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4">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4">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4">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4">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4">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4">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4">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4">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4">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4">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4">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4">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4">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4">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4">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4">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4">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4">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4">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4">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4">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4">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4">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4">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4">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4">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4">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4">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4">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4">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4">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4">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4">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4">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4">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4">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4">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4">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4">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4">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4">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4">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4">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4">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4">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4">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4">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4">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4">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4">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4">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4">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4">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4">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4">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4">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4">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4">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4">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4">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4">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4">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4">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4">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4">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4">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4">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4">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4">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4">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4">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4">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4">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4">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4">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4">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4">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4">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4">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4">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4">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4">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4">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4">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4">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4">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4">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4">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4">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4">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4">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4">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4">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4">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4">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4">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4">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4">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4">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4">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4">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4">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4">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4">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4">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4">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4">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4">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4">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4">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4">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4">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4">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4">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4">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4">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4">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4">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4">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4">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4">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4">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4">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4">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4">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4">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4">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4">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4">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4">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4">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4">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4">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4">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4">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4">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4">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4">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4">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4">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4">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4">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4">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4">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4">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4">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4">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4">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4">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4">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4">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4">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4">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4">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4">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4">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4">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4">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4">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4">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4">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4">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4">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4">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4">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4">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4">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4">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4">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4">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4">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4">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4">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4">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4">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4">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4">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4">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4">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4">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4">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4">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4">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4">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4">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4">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4">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4">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4">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4">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4">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4">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4">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4">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4">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4">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4">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4">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4">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4">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4">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4">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4">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4">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4">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4">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4">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4">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4">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4">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4">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4">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4">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4">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4">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4">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4">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4">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4">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4">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4">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4">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4">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4">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4">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4">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4">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4">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4">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4">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4">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4">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4">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4">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4">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4">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4">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4">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4">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4">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4">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4">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4">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4">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4">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4">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4">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4">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4">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4">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4">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4">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4">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4">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4">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4">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4">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4">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4">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4">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4">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4">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4">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4">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4">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4">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4">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4">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4">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4">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4">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4">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4">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4">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4">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4">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4">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4">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4">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4">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4">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4">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4">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4">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4">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4">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4">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4">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4">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4">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4">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4">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4">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4">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4">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4">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4">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4">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4">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4">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4">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4">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4">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4">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4">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4">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4">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4">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4">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4">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4">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4">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4">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4">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4">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4">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4">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4">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4">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4">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4">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4">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4">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4">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4">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4">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4">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4">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4">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4">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4">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4">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4">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4">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4">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4">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4">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4">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4">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4">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4">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4">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4">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4">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4">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4">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4">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4">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4">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4">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4">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4">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4">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4">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4">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4">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4">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4">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4">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4">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4">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4">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4">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4">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4">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4">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4">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4">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4">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4">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4">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4">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4">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4">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4">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4">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4">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4">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4">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4">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4">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4">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4">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4">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4">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4">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4">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4">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4">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4">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4">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4">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4">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4">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4">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4">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4">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4">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4">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4">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4">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4">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4">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4">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4">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4">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4">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4">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4">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4">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4">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4">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4">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4">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4">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4">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4">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4">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4">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4">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4">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4">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4">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4">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4">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4">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4">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4">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4">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4">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4">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4">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4">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4">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4">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4">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4">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4">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4">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4">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4">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4">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4">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4">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4">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4">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4">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4">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4">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4">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4">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4">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4">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4">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4">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4">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4">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4">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4">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4">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4">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4">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4">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4">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4">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4">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4">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4">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4">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4">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4">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4">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4">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4">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4">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4">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4">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4">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4">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4">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4">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4">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4">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4">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4">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4">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4">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4">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4">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4">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4">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4">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4">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4">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4">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4">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4">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4">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4">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4">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4">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4">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4">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4">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4">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4">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4">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4">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4">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4">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4">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4">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4">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4">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4">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4">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4">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4">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4">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4">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4">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4">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4">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4">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4">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4">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4">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4">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4">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4">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4">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4">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4">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4">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4">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4">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4">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4">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4">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4">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4">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4">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4">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4">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4">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4">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4">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4">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4">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4">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4">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4">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4">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4">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4">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4">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4">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4">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4">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4">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4">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4">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4">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4">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4">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4">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4">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4">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4">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4">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4">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4">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4">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4">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4">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4">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4">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4">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4">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4">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4">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4">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4">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4">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4">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4">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4">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4">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4">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4">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4">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4">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4">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4">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4">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4">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4">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4">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4">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4">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4">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4">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4">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4">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4">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4">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4">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4">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4">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4">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4">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4">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4">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4">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4">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4">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4">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4">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4">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4">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4">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4">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4">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4">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4">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4">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4">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4">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4">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4">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4">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4">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4">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4">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4">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4">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4">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4">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4">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4">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4">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4">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4">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4">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4">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4">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4">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4">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4">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4">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4">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4">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4">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4">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4">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4">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4">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4">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4">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4">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4">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4">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4">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4">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4">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4">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4">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4">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4">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4">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4">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4">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4">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4">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4">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4">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4">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4">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4">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4">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4">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4">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4">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4">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4">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4">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4">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4">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4">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4">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4">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4">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4">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4">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4">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4">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4">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4">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4">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4">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4">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4">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4">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4">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4">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4">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4">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4">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4">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4">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4">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4">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4">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4">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4">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4">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4">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4">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4">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4">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4">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4">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4">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4">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4">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4">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4">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4">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4">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4">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4">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4">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4">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4">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4">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4">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4">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4">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4">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4">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4">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4">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4">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4">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4">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4">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4">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4">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4">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4">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4">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4">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4">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4">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4">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4">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4">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4">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4">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4">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4">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4">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4">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4">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4">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4">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4">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4">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4">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4">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4">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4">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4">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4">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4">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4">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4">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4">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4">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4">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4">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4">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4">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4">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4">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4">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4">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4">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4">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4">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4">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4">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4">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4">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4">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4">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4">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4">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4">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4">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4">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4">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4">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4">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4">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4">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4">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4">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4">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4">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4">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4">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4">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4">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4">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4">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4">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4">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4">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4">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4">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4">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4">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4">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4">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4">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4">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4">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4">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4">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4">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4">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4">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4">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4">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4">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4">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4">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4">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4">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4">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4">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4">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4">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4">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4">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4">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4">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4">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4">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4">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4">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4">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4">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4">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4">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4">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4">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4">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4">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4">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4">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4">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4">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4">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4">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4">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4">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4">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4">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4">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4">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4">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4">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4">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4">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4">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4">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4">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4">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4">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4">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4">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4">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4">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4">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4">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4">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4">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4">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4">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4">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4">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4">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4">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4">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4">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4">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4">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4">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4">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4">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4">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4">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4">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4">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4">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4">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4">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4">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4">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4">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4">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4">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4">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4">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4">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4">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4">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4">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4">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4">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4">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4">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4">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4">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4">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4">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4">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4">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4">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4">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4">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4">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4">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4">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4">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4">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4">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4">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4">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4">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4">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4">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4">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4">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4">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4">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4">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4">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4">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4">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4">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4">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4">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4">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4">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4">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4">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4">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4">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4">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4">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4">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4">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4">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4">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4">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4">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4">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4">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4">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4">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4">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4">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4">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4">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4">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4">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4">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4">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4">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4">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4">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4">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4">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4">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4">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4">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4">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4">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4">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4">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4">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4">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4">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4">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4">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4">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4">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4">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4">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4">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4">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4">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4">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4">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4">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4">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4">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4">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4">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4">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4">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4">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4">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4">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4">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4">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4">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4">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4">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4">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4">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4">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4">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4">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4">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4">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4">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4">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4">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4">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4">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4">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4">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4">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4">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4">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4">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4">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4">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4">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4">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4">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4">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4">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4">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4">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4">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4">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4">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4">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4">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4">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4">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4">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4">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4">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4">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4">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4">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4">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4">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4">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4">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4">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4">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4">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4">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4">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4">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4">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4">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4">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4">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4">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4">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4">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4">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4">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4">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4">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4">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4">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4">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4">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4">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4">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4">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4">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4">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4">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4">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4">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4">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4">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4">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4">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4">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4">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4">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4">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4">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4">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4">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4">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4">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4">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4">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4">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4">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4">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4">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4">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4">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4">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4">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4">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4">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4">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4">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4">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4">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4">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4">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4">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4">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4">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4">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4">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4">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4">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4">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4">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4">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4">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4">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4">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4">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4">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4">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4">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4">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4">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4">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4">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4">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4">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4">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4">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4">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4">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4">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4">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4">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4">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4">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4">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4">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4">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4">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4">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4">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4">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4">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4">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4">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4">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4">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4">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4">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4">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4">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4">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4">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4">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4">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4">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4">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4">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4">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4">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4">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4">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4">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4">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4">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4">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4">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4">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4">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4">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4">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4">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4">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4">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4">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4">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4">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4">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4">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4">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4">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4">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4">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4">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4">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4">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4">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4">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4">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4">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4">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4">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4">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4">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4">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4">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4">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4">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4">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4">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4">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4">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4">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4">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4">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4">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4">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4">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4">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4">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4">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4">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4">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4">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4">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4">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4">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4">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4">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4">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4">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4">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4">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4">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4">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4">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4">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4">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4">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4">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4">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4">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4">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4">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4">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4">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4">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4">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4">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4">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4">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4">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4">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4">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4">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4">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4">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4">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4">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4">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4">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4">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4">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4">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4">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4">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4">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4">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4">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4">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4">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4">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4">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4">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4">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4">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4">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4">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4">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4">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4">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4">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4">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4">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4">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4">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4">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4">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4">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4">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4">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4">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4">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4">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4">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4">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4">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4">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4">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4">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4">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4">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4">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4">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4">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4">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4">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4">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4">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4">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4">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4">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4">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4">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4">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4">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4">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4">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4">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4">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4">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4">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4">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4">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4">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4">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4">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4">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4">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4">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4">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4">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4">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4">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4">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4">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4">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4">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4">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4">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4">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4">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4">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4">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4">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4">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4">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4">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4">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4">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4">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4">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4">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4">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4">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4">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4">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4">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4">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4">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4">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4">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4">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4">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4">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4">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4">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4">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4">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4">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4">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4">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4">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4">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4">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4">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4">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4">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4">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4">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4">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4">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4">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4">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4">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4">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4">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4">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4">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4">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4">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4">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4">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4">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4">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4">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4">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4">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4">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4">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4">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4">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4">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4">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4">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4">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4">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4">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4">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4">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4">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4">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4">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4">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4">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4">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4">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4">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4">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4">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4">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4">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4">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4">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4">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4">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4">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4">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4">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4">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4">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4">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4">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4">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4">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4">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4">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4">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4">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4">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4">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4">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4">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4">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4">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4">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4">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4">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4">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4">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4">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4">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4">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4">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4">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4">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4">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4">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4">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4">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4">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4">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4">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4">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4">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4">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4">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4">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4">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4">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4">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4">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4">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4">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4">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4">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4">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4">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4">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4">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4">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4">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4">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4">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4">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4">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4">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4">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4">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4">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4">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4">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4">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4">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4">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4">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4">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4">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4">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4">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4">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4">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4">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4">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4">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4">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4">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4">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4">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4">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4">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4">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4">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4">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4">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4">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4">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4">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4">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4">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4">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4">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4">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4">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4">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4">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4">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4">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4">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4">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4">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4">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4">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4">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4">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4">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4">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4">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4">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4">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4">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4">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4">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4">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4">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4">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4">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4">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4">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4">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4">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4">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4">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4">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4">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4">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4">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4">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4">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4">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4">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4">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4">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4">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4">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4">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4">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4">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4">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4">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4">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4">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4">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4">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4">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4">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4">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4">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4">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4">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4">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4">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4">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4">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4">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4">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4">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4">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4">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4">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4">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4">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4">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4">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4">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4">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4">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4">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4">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4">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4">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4">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4">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4">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4">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4">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4">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4">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4">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4">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4">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4">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4">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4">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4">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4">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4">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4">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4">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4">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4">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4">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4">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4">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4">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4">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4">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4">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4">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4">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4">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4">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4">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4">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4">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4">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4">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4">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4">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4">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4">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4">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4">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4">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4">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4">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4">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4">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4">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4">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4">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4">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4">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4">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4">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4">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4">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4">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4">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4">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4">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4">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4">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4">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4">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4">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4">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4">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4">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4">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4">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4">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4">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4">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4">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4">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4">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4">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4">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4">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4">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4">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4">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4">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4">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4">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4">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4">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4">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4">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4">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4">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4">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4">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4">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4">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4">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4">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4">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4">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4">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4">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4">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4">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4">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4">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4">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4">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4">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4">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4">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4">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4">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4">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4">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4">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4">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4">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4">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4">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4">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4">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4">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4">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4">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4">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4">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4">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4">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4">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4">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4">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4">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4">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4">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4">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4">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4">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4">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4">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4">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4">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4">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4">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4">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4">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4">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4">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4">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4">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4">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4">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4">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4">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4">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4">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4">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4">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4">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4">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4">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4">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4">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4">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4">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4">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4">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4">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4">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4">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4">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4">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4">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4">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4">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4">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4">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4">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4">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4">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4">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4">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4">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4">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4">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4">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4">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4">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4">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4">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4">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4">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4">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4">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4">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4">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4">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4">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4">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4">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4">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4">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4">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4">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4">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4">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4">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4">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4">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4">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4">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4">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4">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4">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4">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4">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4">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4">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4">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4">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4">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4">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4">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4">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4">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4">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4">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4">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4">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4">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4">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4">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4">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4">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4">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4">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4">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4">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4">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4">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4">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4">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4">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4">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4">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4">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4">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4">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4">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4">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4">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4">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4">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4">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4">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4">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4">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4">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4">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4">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4">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4">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4">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4">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4">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4">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4">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4">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4">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4">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4">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4">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4">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4">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4">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4">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4">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4">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4">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4">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4">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4">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4">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4">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4">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4">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4">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4">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4">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4">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4">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4">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4">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4">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4">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4">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4">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4">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4">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4">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4">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4">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4">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4">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4">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4">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4">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4">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4">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4">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4">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4">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4">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4">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4">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4">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4">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4">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4">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4">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4">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4">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4">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4">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4">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4">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4">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4">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4">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4">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4">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4">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4">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4">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4">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4">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4">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4">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4">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4">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4">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4">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4">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4">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4">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4">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4">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4">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4">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4">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4">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4">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4">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4">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4">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4">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4">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4">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4">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4">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4">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4">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4">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4">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4">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4">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4">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4">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4">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4">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4">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4">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4">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4">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4">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4">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4">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4">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4">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4">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4">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4">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4">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4">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4">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4">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4">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4">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4">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4">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4">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4">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4">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4">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4">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4">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4">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4">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4">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4">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4">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4">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4">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4">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4">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4">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4">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4">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4">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4">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4">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4">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4">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4">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4">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4">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4">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4">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4">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4">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4">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4">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4">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4">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4">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4">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4">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4">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4">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4">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4">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4">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4">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4">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4">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4">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4">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4">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4">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4">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4">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4">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4">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4">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4">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4">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4">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4">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4">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4">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4">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4">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4">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4">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4">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4">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4">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4">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4">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4">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4">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4">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4">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4">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4">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4">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4">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4">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4">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4">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4">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4">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4">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4">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4">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4">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4">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4">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4">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4">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4">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4">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4">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4">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4">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4">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4">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4">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4">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4">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4">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4">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4">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4">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4">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4">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4">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4">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4">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4">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4">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4">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4">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4">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4">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4">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4">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4">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4">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4">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4">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4">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4">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4">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4">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4">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4">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4">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4">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4">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4">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4">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4">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4">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4">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4">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4">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4">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4">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4">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4">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4">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4">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4">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4">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4">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4">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4">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4">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4">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4">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4">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4">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4">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4">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4">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4">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4">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4">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4">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4">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4">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4">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4">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4">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4">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4">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4">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4">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4">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4">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4">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4">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4">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4">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4">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4">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4">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4">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4">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4">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4">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4">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4">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4">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4">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4">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4">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4">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4">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4">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4">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4">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4">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4">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4">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4">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4">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4">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4">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4">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4">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4">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4">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4">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4">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4">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4">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4">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4">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4">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4">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4">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4">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4">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4">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4">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4">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4">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4">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4">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4">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4">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4">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4">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4">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4">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4">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4">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4">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4">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4">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4">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4">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4">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4">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4">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4">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4">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4">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4">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4">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4">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4">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4">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4">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4">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4">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4">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4">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4">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4">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4">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4">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4">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4">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4">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4">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4">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4">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4">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4">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4">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4">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4">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4">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4">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4">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4">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4">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4">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4">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4">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4">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4">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4">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4">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4">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4">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4">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4">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4">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4">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4">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4">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4">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4">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4">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4">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4">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4">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4">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4">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4">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4">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4">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4">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4">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4">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4">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4">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4">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4">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4">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4">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4">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4">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4">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4">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4">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4">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4">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4">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4">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4">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4">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4">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4">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4">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4">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4">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4">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4">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4">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4">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4">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4">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4">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4">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4">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4">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4">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4">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4">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4">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4">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4">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4">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4">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4">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4">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4">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4">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4">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4">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4">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4">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4">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4">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4">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4">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4">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4">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4">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4">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4">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4">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4">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4">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4">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4">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4">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4">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4">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4">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4">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4">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4">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4">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4">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4">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4">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4">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4">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4">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4">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4">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4">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4">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4">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4">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4">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4">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4">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4">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4">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4">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4">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4">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4">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4">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4">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4">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4">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4">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4">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4">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4">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4">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4">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4">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4">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4">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4">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4">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4">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4">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4">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4">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4">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4">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4">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4">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4">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4">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4">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4">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4">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4">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4">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4">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4">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4">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4">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4">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4">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4">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4">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4">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4">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4">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4">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4">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4">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4">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4">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4">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4">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4">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4">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4">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4">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4">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4">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4">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4">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4">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4">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4">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4">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4">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4">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4">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4">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4">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4">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4">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4">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4">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4">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4">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4">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4">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4">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4">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4">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4">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4">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4">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4">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4">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4">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4">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4">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4">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4">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4">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4">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4">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4">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4">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4">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4">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4">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4">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4">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4">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4">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4">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4">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4">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4">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4">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4">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4">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4">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4">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4">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4">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4">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4">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4">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4">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4">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4">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4">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4">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4">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4">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4">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4">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4">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4">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4">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4">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4">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4">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4">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4">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4">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4">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4">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4">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4">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4">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4">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4">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4">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4">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4">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4">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4">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4">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4">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4">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4">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4">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4">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4">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4">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4">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4">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4">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4">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4">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4">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4">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4">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4">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4">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4">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4">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4">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4">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4">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4">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4">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4">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4">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4">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4">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4">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4">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4">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4">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4">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4">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4">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4">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4">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4">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4">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4">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4">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4">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4">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4">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4">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4">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4">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4">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4">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4">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4">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4">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4">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4">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4">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4">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4">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4">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4">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4">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4">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4">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4">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4">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4">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4">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4">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4">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4">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4">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4">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4">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4">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4">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4">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4">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4">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4">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4">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4">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4">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4">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4">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4">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4">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4">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4">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4">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4">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4">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4">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4">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4">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4">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4">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4">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4">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4">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4">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4">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4">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4">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4">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4">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4">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4">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4">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4">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4">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4">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4">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4">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4">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4">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4">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4">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4">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4">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4">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4">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4">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4">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4">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4">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4">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4">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4">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4">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4">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4">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4">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4">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4">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4">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4">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4">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4">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4">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4">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4">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4">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4">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4">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4">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4">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4">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4">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4">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4">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4">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4">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4">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4">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4">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4">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4">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4">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4">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4">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4">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4">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4">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4">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4">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4">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4">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4">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4">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4">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4">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4">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4">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4">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4">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4">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4">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4">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4">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4">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4">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4">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4">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4">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4">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4">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4">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4">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4">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4">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4">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4">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4">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4">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4">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4">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4">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4">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4">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4">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4">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4">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4">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4">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4">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4">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4">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4">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4">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4">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4">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4">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4">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4">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4">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4">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4">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4">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4">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4">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4">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4">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4">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4">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4">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4">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4">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4">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4">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4">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4">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4">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4">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4">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4">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4">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4">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4">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4">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4">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4">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4">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4">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4">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4">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4">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4">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4">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4">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4">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4">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4">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4">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4">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4">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4">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4">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4">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4">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4">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4">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4">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4">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4">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4">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4">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4">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4">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4">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4">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4">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4">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4">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4">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4">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4">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4">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4">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4">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4">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4">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4">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4">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4">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4">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4">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4">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4">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4">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4">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4">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4">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4">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4">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4">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4">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4">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4">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4">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4">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4">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4">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4">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4">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4">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4">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4">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4">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4">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4">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4">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4">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4">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4">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4">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4">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4">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4">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4">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4">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4">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4">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4">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4">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4">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4">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4">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4">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4">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4">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4">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4">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4">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4">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4">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4">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4">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4">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4">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4">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4">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4">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4">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4">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4">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4">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4">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4">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4">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4">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4">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4">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4">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4">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4">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4">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4">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4">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4">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4">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4">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4">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4">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4">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4">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4">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4">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4">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4">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4">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4">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4">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4">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4">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4">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4">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4">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4">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4">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4">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4">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4">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4">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4">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4">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4">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4">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4">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4">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4">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4">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4">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4">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4">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4">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4">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4">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4">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4">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4">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4">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4">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4">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4">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4">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4">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4">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4">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4">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4">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4">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4">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4">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4">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4">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4">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4">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4">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4">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4">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4">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4">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4">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4">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4">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4">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4">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4">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4">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4">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4">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4">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4">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4">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4">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4">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4">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4">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4">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4">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4">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4">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4">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4">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4">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4">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4">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4">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4">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4">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4">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4">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4">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4">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4">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4">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4">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4">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4">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4">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4">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4">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4">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4">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4">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4">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4">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4">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4">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4">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4">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4">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4">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4">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4">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4">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4">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4">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4">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4">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4">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4">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4">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4">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4">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4">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4">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4">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4">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4">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4">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4">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4">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4">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4">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4">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4">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4">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4">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4">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4">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4">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4">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4">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4">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4">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4">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4">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4">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4">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4">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4">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4">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4">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4">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4">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4">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4">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4">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4">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4">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4">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4">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4">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4">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4">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4">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4">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4">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4">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4">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4">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4">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4">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4">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4">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4">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4">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4">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4">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4">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4">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4">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4">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4">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4">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4">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4">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4">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4">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4">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4">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4">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4">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4">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4">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4">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4">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4">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4">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4">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4">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4">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4">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4">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4">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4">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4">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4">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4">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4">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4">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4">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4">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4">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4">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4">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4">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4">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4">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4">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4">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4">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4">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4">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4">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4">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4">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4">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4">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4">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4">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4">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4">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4">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4">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4">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4">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4">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4">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4">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4">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4">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4">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4">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4">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4">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4">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4">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4">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4">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4">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4">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4">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4">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4">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4">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4">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4">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4">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4">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4">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4">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4">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4">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4">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4">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4">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4">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4">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4">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4">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4">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4">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4">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4">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4">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4">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4">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4">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4">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4">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4">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4">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4">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4">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4">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4">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4">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4">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4">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4">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4">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4">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4">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4">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4">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4">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4">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4">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4">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4">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4">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4">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4">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4">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4">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4">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4">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4">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4">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4">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4">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4">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4">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4">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4">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4">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4">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4">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4">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4">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4">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4">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4">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4">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4">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4">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4">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4">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4">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4">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4">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4">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4">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4">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4">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4">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4">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4">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4">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4">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4">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4">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4">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4">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4">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4">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4">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4">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4">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4">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4">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4">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4">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4">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4">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4">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4">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4">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4">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4">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4">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4">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4">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4">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4">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4">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4">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4">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4">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4">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4">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4">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4">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4">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4">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4">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4">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4">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4">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4">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4">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4">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4">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4">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4">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4">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4">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4">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4">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4">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4">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4">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4">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4">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4">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4">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4">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4">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4">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4">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4">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4">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4">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4">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4">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4">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4">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4">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4">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4">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4">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4">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4">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4">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4">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4">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4">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4">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4">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4">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4">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4">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4">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4">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4">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4">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4">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4">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4">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4">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4">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4">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4">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4">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4">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4">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4">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4">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4">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4">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4">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4">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4">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4">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4">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4">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4">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4">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4">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4">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4">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4">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4">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4">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4">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4">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4">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4">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4">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4">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4">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4">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4">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4">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4">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4">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4">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4">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4">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4">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4">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4">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4">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4">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4">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4">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4">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4">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4">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4">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4">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4">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4">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4">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4">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4">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4">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4">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4">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4">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4">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4">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4">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4">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4">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4">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4">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4">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4">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4">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4">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4">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4">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4">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4">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4">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4">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4">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4">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4">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4">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4">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4">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4">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4">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4">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4">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4">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4">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4">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4">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4">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4">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4">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4">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4">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4">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4">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4">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4">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4">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4">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4">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4">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4">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4">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4">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4">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4">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4">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4">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4">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4">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4">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4">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4">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4">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4">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4">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4">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4">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4">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4">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4">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4">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4">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4">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4">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4">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4">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4">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4">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4">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4">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4">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4">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4">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4">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4">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4">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4">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4">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4">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4">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4">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4">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4">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4">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4">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4">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4">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4">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4">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4">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4">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4">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4">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4">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4">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4">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4">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4">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4">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4">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4">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4">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4">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4">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4">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4">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4">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4">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4">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4">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4">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4">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4">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4">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4">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4">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4">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4">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4">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4">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4">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4">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4">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4">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4">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4">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4">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4">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4">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4">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4">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4">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4">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4">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4">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4">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4">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4">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4">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4">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4">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4">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4">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4">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4">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4">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4">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4">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4">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4">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4">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4">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4">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4">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4">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4">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4">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4">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4">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4">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4">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4">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4">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4">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4">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4">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4">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4">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4">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4">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4">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4">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4">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4">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4">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4">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4">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4">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4">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4">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4">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4">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4">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4">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4">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4">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4">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4">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4">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4">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4">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4">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4">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4">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4">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4">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4">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4">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4">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4">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4">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4">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4">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4">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4">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4">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4">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4">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4">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4">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4">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4">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4">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4">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4">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4">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4">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4">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4">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4">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4">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4">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4">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4">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4">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4">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4">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4">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4">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4">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4">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4">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4">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4">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4">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4">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4">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4">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4">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4">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4">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4">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4">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4">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4">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4">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4">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4">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4">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4">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4">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4">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4">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4">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4">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4">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4">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4">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4">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4">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4">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4">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4">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4">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4">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4">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4">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4">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4">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4">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4">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4">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4">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4">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4">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4">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4">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4">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4">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4">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4">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4">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4">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4">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4">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4">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4">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4">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4">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4">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4">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4">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4">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4">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4">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4">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4">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4">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4">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4">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4">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4">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4">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4">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4">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4">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4">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4">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4">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4">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4">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4">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4">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4">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4">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4">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4">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4">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4">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4">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4">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4">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4">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4">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4">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4">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4">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4">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4">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4">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4">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4">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4">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4">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4">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4">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4">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4">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4">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4">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4">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4">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4">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4">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4">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4">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4">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4">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4">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4">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4">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4">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4">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4">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4">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4">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4">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4">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4">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4">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4">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4">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4">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4">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4">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4">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4">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4">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4">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4">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4">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4">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4">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4">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4">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4">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4">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4">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4">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4">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4">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4">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4">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4">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4">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4">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4">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4">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4">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4">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4">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4">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4">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4">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4">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4">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4">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4">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4">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4">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4">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4">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4">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4">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4">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4">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4">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4">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4">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4">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4">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4">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4">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4">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4">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4">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4">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4">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4">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4">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4">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4">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4">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4">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4">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4">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4">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4">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4">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4">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4">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4">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4">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4">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4">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4">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4">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4">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4">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4">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4">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4">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4">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4">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4">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4">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4">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4">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4">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4">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4">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4">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4">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4">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4">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4">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4">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4">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4">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4">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4">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4">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4">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4">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4">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4">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4">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4">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4">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4">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4">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4">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4">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4">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4">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4">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4">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4">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4">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4">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4">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4">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4">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4">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4">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4">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4">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4">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4">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4">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4">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4">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4">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4">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4">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4">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4">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4">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4">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4">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4">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4">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4">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4">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4">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4">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4">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4">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4">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4">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4">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4">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4">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4">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4">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4">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4">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4">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4">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4">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4">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4">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4">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4">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4">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4">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4">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4">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4">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4">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4">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4">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4">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4">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4">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4">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4">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4">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4">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4">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4">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4">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4">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4">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4">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4">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4">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4">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4">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4">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4">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4">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4">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4">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4">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4">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4">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4">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4">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4">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4">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4">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4">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4">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4">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4">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4">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4">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4">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4">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4">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4">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4">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4">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4">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4">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4">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4">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4">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4">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4">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4">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4">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4">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4">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4">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4">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4">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4">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4">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4">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4">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4">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4">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4">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4">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4">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4">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4">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4">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4">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4">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4">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4">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4">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4">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4">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4">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4">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4">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4">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4">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4">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4">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4">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4">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4">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4">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4">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4">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4">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4">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4">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4">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4">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4">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4">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4">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4">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4">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4">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4">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4">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4">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4">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4">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4">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4">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4">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4">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4">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4">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4">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4">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4">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4">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4">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4">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4">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4">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4">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4">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4">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4">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4">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4">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4">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4">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4">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4">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4">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4">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4">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4">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4">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4">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4">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4">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4">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4">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4">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4">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4">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4">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4">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4">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4">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4">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4">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4">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4">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4">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4">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4">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4">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4">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4">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4">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4">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4">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4">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4">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4">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4">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4">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4">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4">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4">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4">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4">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4">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4">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4">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4">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4">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4">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4">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4">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4">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4">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4">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4">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4">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4">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4">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4">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4">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4">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4">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4">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4">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4">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4">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4">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4">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4">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4">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4">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4">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4">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4">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4">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4">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4">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4">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4">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4">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4">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4">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4">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4">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4">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4">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4">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4">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4">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4">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4">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4">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4">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4">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4">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4">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4">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4">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4">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4">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4">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4">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4">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4">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4">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4">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4">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4">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4">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4">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4">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4">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4">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4">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4">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4">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4">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4">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4">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4">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4">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4">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4">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4">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4">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4">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4">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4">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4">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4">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4">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4">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4">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4">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4">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4">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4">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4">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4">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4">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4">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4">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4">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4">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4">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4">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4">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4">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4">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4">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4">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4">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4">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4">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4">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4">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4">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4">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4">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4">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4">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4">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4">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4">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4">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4">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4">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4">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4">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4">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4">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4">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4">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4">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4">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4">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4">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4">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4">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4">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4">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4">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4">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4">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4">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4">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4">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4">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4">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4">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4">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4">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4">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4">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4">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4">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4">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4">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4">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4">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4">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4">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4">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4">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4">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4">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4">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4">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4">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4">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4">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4">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4">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4">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4">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4">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4">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4">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4">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4">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4">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4">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4">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4">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4">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4">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4">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4">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4">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4">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4">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4">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4">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4">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4">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4">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4">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4">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4">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4">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4">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4">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4">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4">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4">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4">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4">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4">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4">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4">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4">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4">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4">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4">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4">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4">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4">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4">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4">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4">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4">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4">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4">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4">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4">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4">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4">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4">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4">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4">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4">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4">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4">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4">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4">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4">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4">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4">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4">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4">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4">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4">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4">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4">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4">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4">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4">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4">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4">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4">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4">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4">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4">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4">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4">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4">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4">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4">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4">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4">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4">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4">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4">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4">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4">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4">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4">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4">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4">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4">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4">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4">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4">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4">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4">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4">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4">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4">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4">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4">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4">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4">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4">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4">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4">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4">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4">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4">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4">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4">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4">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4">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4">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4">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4">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4">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4">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4">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4">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4">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4">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4">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4">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4">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4">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4">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4">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4">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4">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4">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4">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4">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4">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4">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4">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4">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4">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4">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4">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4">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4">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4">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4">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4">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4">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4">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4">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4">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4">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4">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4">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4">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4">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4">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4">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4">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4">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4">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4">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4">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4">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4">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4">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4">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4">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4">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4">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4">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4">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4">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4">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4">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4">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4">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4">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4">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4">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4">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4">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4">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4">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4">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4">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4">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4">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4">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4">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4">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4">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4">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4">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4">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4">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4">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4">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4">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4">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4">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4">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4">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4">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4">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4">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4">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4">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4">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4">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4">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4">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4">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4">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4">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4">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4">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4">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4">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4">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4">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4">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4">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4">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4">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4">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4">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4">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4">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4">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4">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4">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4">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4">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4">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4">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4">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4">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4">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4">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4">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4">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4">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4">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4">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4">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4">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4">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4">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4">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4">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4">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4">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4">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4">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4">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4">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4">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4">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4">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4">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4">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4">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4">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4">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4">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4">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4">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4">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4">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4">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4">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4">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4">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4">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4">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4">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4">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4">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4">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4">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4">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4">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4">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4">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4">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4">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4">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4">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4">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4">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4">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4">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4">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4">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4">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4">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4">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4">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4">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4">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4">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4">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4">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4">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4">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4">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4">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4">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4">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4">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4">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4">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4">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4">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4">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4">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4">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4">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4">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4">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4">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4">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4">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4">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4">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4">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4">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4">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4">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4">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4">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4">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4">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4">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4">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4">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4">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4">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4">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4">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4">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4">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4">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4">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4">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4">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4">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4">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4">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4">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4">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4">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4">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4">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4">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4">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4">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4">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4">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4">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4">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4">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4">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4">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4">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4">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4">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4">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4">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4">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4">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4">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4">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4">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4">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4">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4">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4">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4">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4">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4">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4">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4">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4">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4">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4">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4">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4">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4">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4">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4">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4">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4">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4">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4">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4">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4">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4">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4">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4">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4">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4">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4">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4">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4">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4">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4">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4">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4">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4">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4">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4">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4">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4">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4">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4">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4">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4">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4">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4">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4">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4">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4">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4">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4">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4">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4">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4">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4">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4">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4">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4">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4">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4">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4">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4">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4">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4">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4">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4">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4">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4">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4">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4">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4">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4">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4">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4">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4">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4">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4">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4">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4">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4">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4">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4">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4">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4">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4">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4">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4">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4">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4">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4">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4">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4">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4">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4">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4">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4">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4">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4">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4">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4">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4">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4">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4">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4">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4">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4">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4">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4">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4">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4">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4">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4">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4">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4">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4">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4">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4">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4">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4">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4">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4">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4">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4">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4">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4">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4">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4">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4">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4">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4">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4">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4">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4">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4">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4">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4">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4">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4">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4">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4">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4">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4">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4">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4">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4">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4">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4">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4">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4">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4">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4">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4">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4">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4">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4">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4">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4">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4">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4">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4">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4">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4">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4">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4">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4">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4">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4">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4">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4">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4">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4">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4">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4">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4">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4">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4">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4">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4">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4">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4">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4">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4">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4">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4">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4">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4">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4">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4">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4">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4">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4">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4">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4">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4">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4">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4">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4">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4">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4">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4">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4">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4">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4">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4">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4">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4">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4">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4">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4">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4">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4">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4">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4">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4">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4">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4">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4">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4">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4">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4">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4">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4">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4">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4">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4">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4">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4">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4">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4">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4">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4">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4">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4">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4">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4">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4">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4">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4">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4">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4">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4">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4">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4">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4">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4">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4">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4">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4">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4">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4">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4">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4">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4">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4">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4">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4">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4">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4">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4">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4">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4">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4">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4">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4">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4">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4">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4">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4">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4">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4">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4">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4">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4">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4">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4">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4">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4">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4">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4">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4">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4">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4">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4">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4">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4">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4">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4">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4">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4">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4">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4">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4">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4">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4">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4">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4">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4">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4">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4">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4">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4">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4">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4">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4">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4">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4">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4">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4">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4">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4">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4">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4">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4">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4">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4">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4">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4">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4">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4">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4">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4">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4">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4">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4">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4">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4">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4">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4">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4">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4">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4">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4">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4">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4">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4">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4">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4">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4">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4">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4">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4">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4">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4">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4">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4">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4">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4">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4">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4">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4">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4">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4">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4">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4">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4">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4">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4">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4">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4">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4">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4">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4">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4">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4">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4">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4">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4">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4">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4">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4">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4">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4">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4">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4">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4">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4">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4">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4">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4">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4">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4">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4">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4">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4">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4">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4">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4">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4">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4">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4">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4">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4">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4">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4">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4">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4">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4">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4">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4">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4">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4">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4">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4">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4">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4">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4">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4">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4">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4">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4">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4">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4">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4">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4">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4">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4">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4">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4">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4">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4">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4">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4">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4">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4">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4">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4">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4">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4">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4">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4">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4">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4">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4">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4">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4">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4">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4">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4">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4">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4">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4">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4">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4">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4">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4">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4">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4">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4">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4">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4">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4">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4">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4">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4">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4">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4">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4">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4">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4">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4">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4">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4">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4">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4">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4">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4">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4">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4">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4">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4">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4">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4">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4">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4">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4">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4">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4">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4">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4">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4">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4">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4">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4">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4">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4">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4">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4">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4">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4">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4">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4">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4">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4">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4">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4">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4">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4">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4">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4">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4">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4">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4">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4">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4">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4">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4">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4">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4">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4">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4">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4">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4">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4">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4">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4">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4">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4">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4">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4">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4">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4">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4">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4">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4">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4">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4">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4">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4">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4">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4">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4">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4">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4">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4">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4">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4">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4">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4">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4">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4">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4">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4">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4">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4">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4">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4">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4">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4">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4">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4">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4">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4">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4">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4">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4">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4">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4">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4">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4">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4">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4">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4">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4">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4">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4">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4">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4">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4">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4">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4">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4">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4">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4">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4">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4">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4">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4">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4">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4">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4">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4">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4">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4">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4">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4">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4">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4">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4">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4">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4">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4">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4">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4">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4">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4">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4">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4">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4">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4">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4">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4">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4">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4">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4">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4">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4">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4">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4">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4">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4">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4">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4">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4">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4">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4">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4">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4">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4">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4">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4">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4">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4">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4">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4">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4">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4">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4">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4">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4">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4">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4">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4">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4">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4">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4">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4">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4">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4">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4">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4">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4">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4">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4">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4">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4">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4">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4">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4">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4">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4">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4">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4">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4">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4">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4">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4">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4">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4">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4">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4">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4">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4">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4">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4">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4">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4">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4">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4">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4">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4">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4">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4">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4">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4">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4">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4">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4">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4">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4">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4">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4">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4">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4">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4">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4">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4">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4">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4">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4">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4">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4">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4">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4">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4">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4">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4">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4">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4">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4">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4">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4">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4">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4">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4">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4">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4">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4">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4">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4">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4">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4">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4">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4">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4">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4">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4">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4">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4">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4">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4">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4">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4">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4">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4">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4">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4">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4">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4">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4">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4">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4">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4">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4">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4">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4">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4">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4">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4">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4">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4">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4">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4">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4">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4">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4">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4">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4">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4">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4">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4">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4">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4">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4">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4">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4">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4">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4">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4">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4">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4">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4">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4">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4">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4">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4">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4">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4">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4">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4">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4">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4">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4">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4">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4">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4">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4">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4">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4">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4">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4">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4">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4">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4">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4">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4">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4">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4">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4">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4">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4">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4">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4">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4">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4">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4">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4">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4">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4">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4">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4">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4">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4">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4">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4">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4">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4">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4">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4">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4">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4">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4">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4">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4">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4">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4">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4">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4">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4">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4">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4">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4">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4">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4">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4">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4">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4">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4">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4">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4">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4">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4">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4">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4">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4">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4">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4">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4">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4">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4">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4">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4">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4">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4">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4">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4">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4">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4">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4">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4">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4">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4">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4">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4">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4">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4">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4">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4">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4">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4">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4">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4">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4">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4">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4">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4">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4">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4">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4">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4">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4">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4">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4">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4">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4">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4">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4">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4">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4">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4">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4">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4">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4">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4">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4">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4">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4">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4">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4">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4">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4">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4">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4">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4">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4">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4">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4">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4">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4">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4">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4">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4">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4">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4">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4">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4">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4">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4">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4">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4">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4">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4">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4">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4">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4">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4">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4">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4">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4">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4">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4">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4">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4">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4">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4">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4">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4">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4">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4">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4">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4">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4">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4">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4">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4">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4">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4">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4">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4">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4">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4">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4">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4">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4">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4">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4">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4">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4">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4">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4">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4">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4">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4">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4">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4">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4">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4">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4">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4">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4">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4">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4">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4">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4">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4">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4">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4">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4">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4">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4">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4">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4">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4">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4">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4">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4">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4">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4">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4">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4">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4">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4">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4">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4">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4">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4">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4">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4">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4">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4">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4">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4">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4">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4">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4">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4">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4">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4">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4">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4">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4">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4">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4">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4">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4">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4">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4">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4">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4">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4">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4">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4">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4">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4">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4">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4">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4">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4">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4">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4">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4">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4">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4">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4">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4">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4">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4">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4">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4">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4">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4">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4">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4">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4">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4">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4">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4">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4">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4">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4">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4">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4">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4">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4">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4">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4">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4">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4">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4">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4">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4">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4">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4">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4">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4">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4">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4">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4">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4">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4">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4">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4">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4">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4">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4">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4">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4">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4">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4">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4">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4">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4">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4">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4">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4">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4">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4">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4">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4">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4">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4">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4">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4">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4">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4">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4">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4">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4">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4">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4">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4">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4">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4">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4">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4">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4">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4">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4">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4">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4">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4">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4">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4">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4">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4">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4">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4">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4">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4">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4">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4">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4">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4">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4">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4">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4">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4">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4">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4">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4">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4">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4">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4">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4">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4">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4">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4">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4">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4">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4">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4">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4">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4">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4">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4">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4">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4">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4">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4">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4">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4">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4">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4">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4">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4">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4">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4">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4">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4">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4">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4">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4">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4">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4">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4">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4">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4">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4">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4">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4">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4">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4">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4">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4">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4">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4">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4">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4">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4">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4">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4">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4">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4">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4">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4">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4">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4">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4">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4">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4">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4">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4">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4">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4">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4">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4">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4">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4">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4">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4">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4">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4">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4">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4">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4">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4">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4">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4">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4">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4">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4">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4">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4">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4">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4">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4">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4">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4">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4">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4">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4">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4">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4">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4">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4">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4">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4">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4">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4">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4">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4">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4">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4">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4">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4">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4">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4">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4">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4">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4">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4">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4">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4">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4">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4">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4">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4">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4">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4">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4">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4">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4">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4">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4">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4">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4">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4">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4">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4">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4">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4">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4">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4">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4">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4">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4">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4">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4">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4">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4">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4">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4">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4">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4">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4">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4">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4">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4">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4">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4">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4">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4">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4">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4">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4">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4">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4">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4">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4">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4">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4">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4">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4">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4">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4">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4">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4">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4">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4">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4">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4">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4">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4">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4">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4">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4">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4">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4">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4">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4">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4">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4">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4">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4">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4">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4">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4">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4">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4">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4">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4">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4">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4">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4">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4">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4">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4">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4">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4">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4">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4">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4">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4">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4">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4">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4">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4">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4">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4">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4">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4">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4">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4">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4">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4">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4">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4">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4">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4">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4">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4">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4">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4">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4">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4">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4">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4">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4">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4">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4">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4">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4">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4">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4">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4">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4">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4">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4">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4">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4">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4">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4">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4">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4">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4">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4">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4">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4">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4">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4">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4">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4">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4">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4">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4">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4">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4">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4">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4">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4">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4">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4">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4">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4">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4">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4">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4">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4">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4">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4">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4">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4">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4">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4">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4">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4">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4">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4">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4">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4">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4">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4">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4">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4">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4">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4">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4">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4">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4">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4">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4">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4">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4">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4">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4">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4">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4">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4">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4">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4">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4">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4">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4">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4">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4">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4">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4">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4">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4">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4">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4">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4">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4">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4">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4">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4">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4">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4">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4">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4">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4">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4">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4">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4">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4">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4">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4">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4">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4">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4">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4">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4">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4">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4">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4">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4">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4">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4">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4">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4">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4">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4">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4">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4">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4">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4">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4">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4">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4">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4">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4">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4">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4">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4">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4">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4">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4">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4">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4">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4">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4">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4">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4">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4">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4">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4">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4">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4">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4">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4">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4">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4">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4">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4">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4">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4">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4">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4">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4">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4">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4">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4">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4">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4">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4">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4">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4">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4">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4">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4">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4">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4">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4">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4">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4">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4">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4">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4">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4">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4">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4">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4">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4">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4">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4">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4">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4">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4">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4">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4">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4">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4">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4">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4">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4">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4">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4">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4">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4">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4">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4">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4">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4">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4">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4">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4">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4">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4">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4">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4">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4">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4">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4">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4">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4">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4">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4">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4">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4">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4">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4">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4">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4">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4">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4">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4">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4">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4">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4">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4">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4">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4">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4">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4">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4">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4">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4">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4">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4">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4">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4">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4">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4">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4">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4">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4">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4">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4">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4">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4">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4">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4">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4">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4">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4">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4">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4">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4">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4">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4">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4">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4">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4">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4">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4">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4">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4">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4">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4">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4">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4">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4">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4">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4">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4">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4">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4">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4">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4">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4">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4">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4">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4">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4">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4">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4">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4">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4">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4">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4">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4">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4">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4">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4">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4">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4">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4">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4">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4">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4">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4">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4">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4">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4">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4">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4">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4">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4">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4">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4">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4">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4">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4">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4">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4">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4">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4">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4">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4">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4">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4">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4">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4">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4">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4">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4">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4">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4">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4">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4">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4">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4">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4">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4">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4">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4">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4">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4">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4">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4">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4">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4">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4">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4">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4">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4">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4">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4">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4">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4">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4">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4">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4">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4">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4">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4">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4">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4">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4">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4">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4">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4">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4">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4">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4">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4">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4">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4">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4">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4">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4">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4">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4">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4">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4">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4">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4">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4">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4">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4">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4">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4">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4">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4">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4">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4">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4">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4">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4">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4">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4">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4">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4">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4">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4">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4">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4">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4">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4">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4">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4">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4">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4">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4">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4">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4">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4">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4">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4">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4">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4">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4">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4">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4">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4">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4">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4">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4">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4">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4">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4">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4">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4">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4">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4">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4">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4">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4">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4">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4">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4">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4">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4">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4">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4">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4">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4">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4">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4">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4">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4">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4">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4">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4">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4">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4">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4">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4">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4">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4">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4">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4">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4">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4">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4">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4">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4">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4">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4">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4">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4">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4">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4">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4">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4">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4">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4">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4">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4">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4">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4">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4">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4">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4">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4">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4">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4">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4">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4">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4">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4">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4">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4">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4">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4">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4">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4">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4">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4">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4">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4">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4">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4">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4">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4">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4">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4">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4">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4">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4">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4">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4">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4">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4">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4">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4">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4">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4">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4">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4">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4">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4">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4">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4">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4">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4">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4">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4">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4">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4">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4">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4">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4">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4">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4">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4">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4">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4">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4">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4">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4">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4">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4">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4">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4">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4">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4">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4">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4">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4">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4">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4">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4">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4">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4">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4">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4">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4">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4">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4">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4">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4">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4">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4">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4">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4">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4">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4">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4">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4">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4">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4">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4">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4">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4">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4">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4">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4">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4">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4">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4">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4">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4">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4">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4">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4">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4">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4">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4">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4">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4">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4">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4">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4">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4">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4">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4">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4">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4">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4">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4">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4">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4">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4">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4">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4">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4">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4">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4">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4">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4">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4">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4">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4">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4">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4">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4">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4">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4">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4">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4">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4">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4">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4">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4">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4">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4">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4">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4">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4">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4">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4">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4">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4">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4">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4">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4">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4">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4">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4">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4">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4">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4">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4">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4">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4">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4">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4">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4">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4">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4">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4">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4">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4">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4">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4">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4">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4">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4">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4">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4">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4">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4">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4">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4">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4">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4">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4">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4">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4">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4">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4">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4">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4">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4">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4">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4">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4">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4">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4">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4">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4">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4">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4">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4">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4">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4">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4">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4">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4">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4">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4">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4">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4">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4">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4">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4">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4">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4">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4">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4">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4">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4">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4">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4">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4">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4">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4">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4">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4">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4">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4">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4">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4">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4">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4">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4">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4">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4">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4">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4">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4">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4">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4">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4">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4">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4">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4">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4">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4">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4">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4">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4">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4">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4">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4">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4">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4">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4">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4">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4">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4">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4">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4">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4">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4">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4">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4">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4">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4">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4">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4">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4">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4">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4">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4">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4">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4">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4">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4">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4">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4">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4">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4">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4">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4">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4">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4">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4">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4">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4">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4">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4">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4">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4">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4">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4">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4">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4">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4">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4">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4">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4">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4">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4">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4">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4">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4">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4">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4">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4">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4">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4">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4">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4">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4">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4">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4">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4">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4">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4">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4">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4">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4">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4">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4">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4">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4">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4">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4">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4">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4">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4">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4">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4">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4">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4">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4">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4">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4">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4">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4">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4">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4">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4">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4">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4">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4">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4">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4">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4">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4">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4">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4">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4">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4">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4">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4">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4">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4">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4">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4">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4">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4">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4">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4">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4">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4">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4">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4">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4">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4">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4">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4">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4">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4">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4">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4">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4">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4">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4">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4">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4">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4">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4">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4">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4">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4">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4">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4">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4">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4">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4">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4">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4">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4">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4">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4">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4">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4">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4">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4">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4">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4">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4">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4">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4">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4">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4">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4">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4">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4">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4">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4">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4">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4">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4">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4">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4">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4">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4">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4">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4">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4">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4">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4">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4">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4">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4">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4">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4">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4">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4">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4">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4">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4">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4">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4">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4">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4">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4">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4">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4">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4">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4">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4">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4">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4">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4">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4">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4">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4">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4">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4">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4">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4">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4">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4">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4">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4">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4">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4">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4">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4">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4">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4">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4">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4">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4">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4">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4">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4">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4">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4">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4">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4">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4">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4">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4">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4">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4">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4">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4">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4">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4">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4">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4">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4">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4">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4">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4">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4">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4">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4">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4">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4">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4">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4">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4">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4">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4">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4">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4">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4">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4">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4">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4">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4">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4">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4">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4">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4">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4">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4">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4">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4">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4">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4">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4">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4">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4">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4">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4">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4">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4">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4">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4">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4">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4">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4">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4">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4">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4">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4">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4">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4">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4">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4">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4">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4">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4">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4">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4">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4">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4">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4">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4">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4">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4">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4">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4">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4">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4">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4">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4">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4">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4">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4">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4">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4">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4">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4">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4">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4">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4">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4">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4">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4">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4">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4">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4">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4">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4">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4">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4">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4">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4">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4">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4">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4">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4">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4">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4">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4">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4">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4">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4">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4">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4">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4">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4">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4">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4">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4">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4">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4">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4">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4">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4">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4">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4">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4">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4">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4">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4">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4">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4">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4">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4">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4">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4">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4">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4">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4">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4">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4">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4">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4">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4">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4">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4">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4">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4">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4">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4">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4">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4">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4">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4">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4">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4">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4">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4">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4">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4">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4">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4">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4">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4">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4">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4">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4">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4">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4">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4">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4">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4">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4">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4">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4">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4">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4">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4">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4">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4">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4">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4">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4">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4">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4">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4">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4">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4">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4">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4">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4">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4">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4">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4">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4">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4">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4">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4">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4">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4">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4">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4">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4">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4">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4">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4">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4">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4">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4">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4">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4">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4">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4">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4">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4">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4">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4">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4">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4">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4">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4">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4">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4">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4">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4">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4">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4">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4">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4">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4">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4">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4">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4">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4">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4">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4">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4">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4">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4">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4">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4">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4">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4">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4">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4">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4">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4">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4">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4">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4">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4">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4">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4">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4">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4">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4">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4">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4">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4">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4">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4">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4">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4">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4">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4">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4">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4">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4">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4">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4">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4">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4">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4">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4">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4">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4">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4">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4">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4">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4">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4">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4">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4">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4">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4">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4">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4">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4">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4">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4">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4">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4">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4">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4">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4">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4">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4">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4">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4">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4">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4">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4">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4">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4">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4">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4">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4">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4">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4">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4">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4">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4">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4">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4">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4">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4">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4">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4">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4">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4">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4">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4">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4">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4">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4">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4">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4">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4">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4">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4">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4">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4">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4">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4">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4">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4">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4">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4">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4">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4">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4">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4">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4">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4">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4">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4">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4">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4">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4">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4">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4">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4">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4">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4">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4">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4">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4">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4">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4">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4">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4">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4">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4">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4">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4">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4">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4">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4">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4">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4">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4">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4">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4">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4">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4">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4">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4">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4">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4">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4">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4">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4">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4">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4">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4">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4">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4">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4">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4">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4">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4">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4">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4">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4">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4">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4">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4">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4">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4">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4">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4">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4">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4">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4">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4">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4">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4">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4">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4">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4">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4">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4">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4">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4">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4">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4">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4">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4">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4">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4">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4">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4">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4">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4">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4">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4">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4">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4">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4">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4">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4">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4">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4">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4">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4">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4">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4">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4">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4">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4">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4">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4">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4">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4">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4">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4">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4">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4">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4">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4">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4">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4">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4">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4">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4">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4">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4">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4">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4">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4">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4">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4">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4">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4">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4">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4">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4">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4">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4">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4">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4">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4">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4">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4">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4">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4">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4">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4">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4">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4">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4">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4">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4">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4">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4">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4">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4">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4">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4">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4">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4">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4">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4">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4">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4">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4">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4">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4">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4">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4">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4">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4">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4">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4">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4">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4">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4">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4">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4">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4">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4">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4">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4">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4">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4">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4">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4">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4">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4">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4">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4">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4">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4">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4">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4">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4">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4">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4">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4">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4">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4">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4">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4">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4">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4">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4">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4">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4">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4">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4">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4">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4">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4">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4">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4">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4">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4">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4">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4">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4">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4">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4">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4">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4">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4">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4">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4">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4">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4">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4">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4">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4">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4">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4">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4">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4">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4">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4">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4">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4">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4">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4">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4">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4">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4">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4">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4">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4">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4">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4">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4">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4">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4">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4">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4">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4">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4">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4">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4">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4">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4">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4">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4">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4">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4">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4">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4">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4">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4">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4">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4">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4">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4">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4">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4">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4">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4">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4">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4">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4">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4">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4">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4">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4">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4">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4">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4">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4">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4">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4">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4">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4">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4">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4">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4">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4">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4">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4">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4">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4">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4">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4">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4">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4">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4">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4">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4">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4">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4">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4">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4">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4">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4">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4">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4">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4">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4">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4">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4">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4">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4">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4">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4">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4">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4">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4">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4">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4">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4">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4">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4">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4">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4">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4">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4">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4">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4">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4">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4">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4">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4">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4">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4">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4">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4">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4">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4">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4">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4">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4">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4">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4">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4">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4">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4">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4">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4">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4">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4">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4">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4">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4">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4">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4">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4">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4">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4">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4">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4">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4">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4">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4">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4">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4">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4">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4">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4">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4">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4">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4">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4">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4">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4">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4">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4">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4">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4">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4">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4">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4">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4">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4">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4">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4">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4">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4">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4">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4">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4">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4">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4">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4">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4">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4">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4">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4">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4">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4">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4">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4">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4">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4">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4">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4">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4">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4">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4">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4">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4">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4">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4">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4">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4">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4">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4">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4">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4">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4">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4">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4">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4">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4">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4">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4">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4">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4">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4">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4">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4">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4">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4">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4">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4">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4">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4">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4">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4">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4">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4">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4">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4">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4">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4">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4">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4">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4">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4">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4">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4">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4">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4">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4">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4">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4">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ref="A2:X8126">
    <sortCondition ref="A2:A8126"/>
  </sortState>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rooms">
                <anchor moveWithCells="1" sizeWithCells="1">
                  <from>
                    <xdr:col>8</xdr:col>
                    <xdr:colOff>32657</xdr:colOff>
                    <xdr:row>10</xdr:row>
                    <xdr:rowOff>97971</xdr:rowOff>
                  </from>
                  <to>
                    <xdr:col>9</xdr:col>
                    <xdr:colOff>168729</xdr:colOff>
                    <xdr:row>13</xdr:row>
                    <xdr:rowOff>119743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6</vt:i4>
      </vt:variant>
      <vt:variant>
        <vt:lpstr>Excel 4.0 Macros</vt:lpstr>
      </vt:variant>
      <vt:variant>
        <vt:i4>1</vt:i4>
      </vt:variant>
      <vt:variant>
        <vt:lpstr>Named Ranges</vt:lpstr>
      </vt:variant>
      <vt:variant>
        <vt:i4>2</vt:i4>
      </vt:variant>
    </vt:vector>
  </HeadingPairs>
  <TitlesOfParts>
    <vt:vector size="9" baseType="lpstr">
      <vt:lpstr>Exercises</vt:lpstr>
      <vt:lpstr>Solver data</vt:lpstr>
      <vt:lpstr>Scenario Manager</vt:lpstr>
      <vt:lpstr>Sheet2</vt:lpstr>
      <vt:lpstr>penguins</vt:lpstr>
      <vt:lpstr>Mushrooms - Ex1</vt:lpstr>
      <vt:lpstr>Macro1</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Geo Smith</cp:lastModifiedBy>
  <dcterms:created xsi:type="dcterms:W3CDTF">2015-06-05T18:17:20Z</dcterms:created>
  <dcterms:modified xsi:type="dcterms:W3CDTF">2025-10-23T17:57:49Z</dcterms:modified>
</cp:coreProperties>
</file>